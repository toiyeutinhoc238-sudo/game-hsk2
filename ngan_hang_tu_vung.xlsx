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BRAVO 15\Downloads\game tieng trung hsk 2\"/>
    </mc:Choice>
  </mc:AlternateContent>
  <xr:revisionPtr revIDLastSave="0" documentId="13_ncr:1_{1CB9A5E9-4937-4CA3-9F2E-F6ECABC9D99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HSK 1 - Sơ Cấp" sheetId="1" r:id="rId1"/>
    <sheet name="HSK 2 - Sơ Cấp" sheetId="2" r:id="rId2"/>
    <sheet name="HSK 3- Trung cấp" sheetId="3" r:id="rId3"/>
    <sheet name="HSK 4- Trung cấp" sheetId="4" r:id="rId4"/>
  </sheets>
  <definedNames>
    <definedName name="_xlnm._FilterDatabase" localSheetId="2" hidden="1">'HSK 3- Trung cấp'!$A$1:$I$476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00" i="4" l="1"/>
  <c r="D1000" i="4"/>
  <c r="E999" i="4"/>
  <c r="D999" i="4"/>
  <c r="E998" i="4"/>
  <c r="D998" i="4"/>
  <c r="E997" i="4"/>
  <c r="D997" i="4"/>
  <c r="E996" i="4"/>
  <c r="D996" i="4"/>
  <c r="E995" i="4"/>
  <c r="D995" i="4"/>
  <c r="E994" i="4"/>
  <c r="D994" i="4"/>
  <c r="E993" i="4"/>
  <c r="D993" i="4"/>
  <c r="E992" i="4"/>
  <c r="D992" i="4"/>
  <c r="E991" i="4"/>
  <c r="D991" i="4"/>
  <c r="E990" i="4"/>
  <c r="D990" i="4"/>
  <c r="E989" i="4"/>
  <c r="D989" i="4"/>
  <c r="E988" i="4"/>
  <c r="D988" i="4"/>
  <c r="E987" i="4"/>
  <c r="D987" i="4"/>
  <c r="E986" i="4"/>
  <c r="D986" i="4"/>
  <c r="E985" i="4"/>
  <c r="D985" i="4"/>
  <c r="E984" i="4"/>
  <c r="D984" i="4"/>
  <c r="E983" i="4"/>
  <c r="D983" i="4"/>
  <c r="E982" i="4"/>
  <c r="D982" i="4"/>
  <c r="E981" i="4"/>
  <c r="D981" i="4"/>
  <c r="E980" i="4"/>
  <c r="D980" i="4"/>
  <c r="E979" i="4"/>
  <c r="D979" i="4"/>
  <c r="E978" i="4"/>
  <c r="D978" i="4"/>
  <c r="E977" i="4"/>
  <c r="D977" i="4"/>
  <c r="E976" i="4"/>
  <c r="D976" i="4"/>
  <c r="E975" i="4"/>
  <c r="D975" i="4"/>
  <c r="E974" i="4"/>
  <c r="D974" i="4"/>
  <c r="E973" i="4"/>
  <c r="D973" i="4"/>
  <c r="E972" i="4"/>
  <c r="D972" i="4"/>
  <c r="E971" i="4"/>
  <c r="D971" i="4"/>
  <c r="E970" i="4"/>
  <c r="D970" i="4"/>
  <c r="E969" i="4"/>
  <c r="D969" i="4"/>
  <c r="E968" i="4"/>
  <c r="D968" i="4"/>
  <c r="E967" i="4"/>
  <c r="D967" i="4"/>
  <c r="E966" i="4"/>
  <c r="D966" i="4"/>
  <c r="E965" i="4"/>
  <c r="D965" i="4"/>
  <c r="E964" i="4"/>
  <c r="D964" i="4"/>
  <c r="E963" i="4"/>
  <c r="D963" i="4"/>
  <c r="E962" i="4"/>
  <c r="D962" i="4"/>
  <c r="E961" i="4"/>
  <c r="D961" i="4"/>
  <c r="E960" i="4"/>
  <c r="D960" i="4"/>
  <c r="E959" i="4"/>
  <c r="D959" i="4"/>
  <c r="E958" i="4"/>
  <c r="D958" i="4"/>
  <c r="E957" i="4"/>
  <c r="D957" i="4"/>
  <c r="E956" i="4"/>
  <c r="D956" i="4"/>
  <c r="E955" i="4"/>
  <c r="D955" i="4"/>
  <c r="E954" i="4"/>
  <c r="D954" i="4"/>
  <c r="E953" i="4"/>
  <c r="D953" i="4"/>
  <c r="E952" i="4"/>
  <c r="D952" i="4"/>
  <c r="E951" i="4"/>
  <c r="D951" i="4"/>
  <c r="E950" i="4"/>
  <c r="D950" i="4"/>
  <c r="E949" i="4"/>
  <c r="D949" i="4"/>
  <c r="E948" i="4"/>
  <c r="D948" i="4"/>
  <c r="E947" i="4"/>
  <c r="D947" i="4"/>
  <c r="E946" i="4"/>
  <c r="D946" i="4"/>
  <c r="E945" i="4"/>
  <c r="D945" i="4"/>
  <c r="E944" i="4"/>
  <c r="D944" i="4"/>
  <c r="E943" i="4"/>
  <c r="D943" i="4"/>
  <c r="E942" i="4"/>
  <c r="D942" i="4"/>
  <c r="E941" i="4"/>
  <c r="D941" i="4"/>
  <c r="E940" i="4"/>
  <c r="D940" i="4"/>
  <c r="E939" i="4"/>
  <c r="D939" i="4"/>
  <c r="E938" i="4"/>
  <c r="D938" i="4"/>
  <c r="E937" i="4"/>
  <c r="D937" i="4"/>
  <c r="E936" i="4"/>
  <c r="D936" i="4"/>
  <c r="E935" i="4"/>
  <c r="D935" i="4"/>
  <c r="E934" i="4"/>
  <c r="D934" i="4"/>
  <c r="E933" i="4"/>
  <c r="D933" i="4"/>
  <c r="E932" i="4"/>
  <c r="D932" i="4"/>
  <c r="E931" i="4"/>
  <c r="D931" i="4"/>
  <c r="E930" i="4"/>
  <c r="D930" i="4"/>
  <c r="E929" i="4"/>
  <c r="D929" i="4"/>
  <c r="E928" i="4"/>
  <c r="D928" i="4"/>
  <c r="E927" i="4"/>
  <c r="D927" i="4"/>
  <c r="E926" i="4"/>
  <c r="D926" i="4"/>
  <c r="E925" i="4"/>
  <c r="D925" i="4"/>
  <c r="E924" i="4"/>
  <c r="D924" i="4"/>
  <c r="E923" i="4"/>
  <c r="D923" i="4"/>
  <c r="E922" i="4"/>
  <c r="D922" i="4"/>
  <c r="E921" i="4"/>
  <c r="D921" i="4"/>
  <c r="E920" i="4"/>
  <c r="D920" i="4"/>
  <c r="E919" i="4"/>
  <c r="D919" i="4"/>
  <c r="E918" i="4"/>
  <c r="D918" i="4"/>
  <c r="E917" i="4"/>
  <c r="D917" i="4"/>
  <c r="E916" i="4"/>
  <c r="D916" i="4"/>
  <c r="E915" i="4"/>
  <c r="D915" i="4"/>
  <c r="E914" i="4"/>
  <c r="D914" i="4"/>
  <c r="E913" i="4"/>
  <c r="D913" i="4"/>
  <c r="E912" i="4"/>
  <c r="D912" i="4"/>
  <c r="E911" i="4"/>
  <c r="D911" i="4"/>
  <c r="E910" i="4"/>
  <c r="D910" i="4"/>
  <c r="E909" i="4"/>
  <c r="D909" i="4"/>
  <c r="E908" i="4"/>
  <c r="D908" i="4"/>
  <c r="E907" i="4"/>
  <c r="D907" i="4"/>
  <c r="E906" i="4"/>
  <c r="D906" i="4"/>
  <c r="E905" i="4"/>
  <c r="D905" i="4"/>
  <c r="E904" i="4"/>
  <c r="D904" i="4"/>
  <c r="E903" i="4"/>
  <c r="D903" i="4"/>
  <c r="E902" i="4"/>
  <c r="D902" i="4"/>
  <c r="E901" i="4"/>
  <c r="D901" i="4"/>
  <c r="E900" i="4"/>
  <c r="D900" i="4"/>
  <c r="E899" i="4"/>
  <c r="D899" i="4"/>
  <c r="E898" i="4"/>
  <c r="D898" i="4"/>
  <c r="E897" i="4"/>
  <c r="D897" i="4"/>
  <c r="E896" i="4"/>
  <c r="D896" i="4"/>
  <c r="E895" i="4"/>
  <c r="D895" i="4"/>
  <c r="E894" i="4"/>
  <c r="D894" i="4"/>
  <c r="E893" i="4"/>
  <c r="D893" i="4"/>
  <c r="E892" i="4"/>
  <c r="D892" i="4"/>
  <c r="E891" i="4"/>
  <c r="D891" i="4"/>
  <c r="E890" i="4"/>
  <c r="D890" i="4"/>
  <c r="E889" i="4"/>
  <c r="D889" i="4"/>
  <c r="E888" i="4"/>
  <c r="D888" i="4"/>
  <c r="E887" i="4"/>
  <c r="D887" i="4"/>
  <c r="E886" i="4"/>
  <c r="D886" i="4"/>
  <c r="E885" i="4"/>
  <c r="D885" i="4"/>
  <c r="E884" i="4"/>
  <c r="D884" i="4"/>
  <c r="E883" i="4"/>
  <c r="D883" i="4"/>
  <c r="E882" i="4"/>
  <c r="D882" i="4"/>
  <c r="E881" i="4"/>
  <c r="D881" i="4"/>
  <c r="E880" i="4"/>
  <c r="D880" i="4"/>
  <c r="E879" i="4"/>
  <c r="D879" i="4"/>
  <c r="E878" i="4"/>
  <c r="D878" i="4"/>
  <c r="E877" i="4"/>
  <c r="D877" i="4"/>
  <c r="E876" i="4"/>
  <c r="D876" i="4"/>
  <c r="E875" i="4"/>
  <c r="D875" i="4"/>
  <c r="E874" i="4"/>
  <c r="D874" i="4"/>
  <c r="E873" i="4"/>
  <c r="D873" i="4"/>
  <c r="E872" i="4"/>
  <c r="D872" i="4"/>
  <c r="E871" i="4"/>
  <c r="D871" i="4"/>
  <c r="E870" i="4"/>
  <c r="D870" i="4"/>
  <c r="E869" i="4"/>
  <c r="D869" i="4"/>
  <c r="E868" i="4"/>
  <c r="D868" i="4"/>
  <c r="E867" i="4"/>
  <c r="D867" i="4"/>
  <c r="E866" i="4"/>
  <c r="D866" i="4"/>
  <c r="E865" i="4"/>
  <c r="D865" i="4"/>
  <c r="E864" i="4"/>
  <c r="D864" i="4"/>
  <c r="E863" i="4"/>
  <c r="D863" i="4"/>
  <c r="E862" i="4"/>
  <c r="D862" i="4"/>
  <c r="E861" i="4"/>
  <c r="D861" i="4"/>
  <c r="E860" i="4"/>
  <c r="D860" i="4"/>
  <c r="E859" i="4"/>
  <c r="D859" i="4"/>
  <c r="E858" i="4"/>
  <c r="D858" i="4"/>
  <c r="E857" i="4"/>
  <c r="D857" i="4"/>
  <c r="E856" i="4"/>
  <c r="D856" i="4"/>
  <c r="E855" i="4"/>
  <c r="D855" i="4"/>
  <c r="E854" i="4"/>
  <c r="D854" i="4"/>
  <c r="E853" i="4"/>
  <c r="D853" i="4"/>
  <c r="E852" i="4"/>
  <c r="D852" i="4"/>
  <c r="E851" i="4"/>
  <c r="D851" i="4"/>
  <c r="E850" i="4"/>
  <c r="D850" i="4"/>
  <c r="E849" i="4"/>
  <c r="D849" i="4"/>
  <c r="E848" i="4"/>
  <c r="D848" i="4"/>
  <c r="E847" i="4"/>
  <c r="D847" i="4"/>
  <c r="E846" i="4"/>
  <c r="D846" i="4"/>
  <c r="E845" i="4"/>
  <c r="D845" i="4"/>
  <c r="E844" i="4"/>
  <c r="D844" i="4"/>
  <c r="E843" i="4"/>
  <c r="D843" i="4"/>
  <c r="E842" i="4"/>
  <c r="D842" i="4"/>
  <c r="E841" i="4"/>
  <c r="D841" i="4"/>
  <c r="E840" i="4"/>
  <c r="D840" i="4"/>
  <c r="E839" i="4"/>
  <c r="D839" i="4"/>
  <c r="E838" i="4"/>
  <c r="D838" i="4"/>
  <c r="E837" i="4"/>
  <c r="D837" i="4"/>
  <c r="E836" i="4"/>
  <c r="D836" i="4"/>
  <c r="E835" i="4"/>
  <c r="D835" i="4"/>
  <c r="E834" i="4"/>
  <c r="D834" i="4"/>
  <c r="E833" i="4"/>
  <c r="D833" i="4"/>
  <c r="E832" i="4"/>
  <c r="D832" i="4"/>
  <c r="E831" i="4"/>
  <c r="D831" i="4"/>
  <c r="E830" i="4"/>
  <c r="D830" i="4"/>
  <c r="E829" i="4"/>
  <c r="D829" i="4"/>
  <c r="E828" i="4"/>
  <c r="D828" i="4"/>
  <c r="E827" i="4"/>
  <c r="D827" i="4"/>
  <c r="E826" i="4"/>
  <c r="D826" i="4"/>
  <c r="E825" i="4"/>
  <c r="D825" i="4"/>
  <c r="E824" i="4"/>
  <c r="D824" i="4"/>
  <c r="E823" i="4"/>
  <c r="D823" i="4"/>
  <c r="E822" i="4"/>
  <c r="D822" i="4"/>
  <c r="E821" i="4"/>
  <c r="D821" i="4"/>
  <c r="E820" i="4"/>
  <c r="D820" i="4"/>
  <c r="E819" i="4"/>
  <c r="D819" i="4"/>
  <c r="E818" i="4"/>
  <c r="D818" i="4"/>
  <c r="E817" i="4"/>
  <c r="D817" i="4"/>
  <c r="E816" i="4"/>
  <c r="D816" i="4"/>
  <c r="E815" i="4"/>
  <c r="D815" i="4"/>
  <c r="E814" i="4"/>
  <c r="D814" i="4"/>
  <c r="E813" i="4"/>
  <c r="D813" i="4"/>
  <c r="E812" i="4"/>
  <c r="D812" i="4"/>
  <c r="E811" i="4"/>
  <c r="D811" i="4"/>
  <c r="E810" i="4"/>
  <c r="D810" i="4"/>
  <c r="E809" i="4"/>
  <c r="D809" i="4"/>
  <c r="E808" i="4"/>
  <c r="D808" i="4"/>
  <c r="E807" i="4"/>
  <c r="D807" i="4"/>
  <c r="E806" i="4"/>
  <c r="D806" i="4"/>
  <c r="E805" i="4"/>
  <c r="D805" i="4"/>
  <c r="E804" i="4"/>
  <c r="D804" i="4"/>
  <c r="E803" i="4"/>
  <c r="D803" i="4"/>
  <c r="E802" i="4"/>
  <c r="D802" i="4"/>
  <c r="E801" i="4"/>
  <c r="D801" i="4"/>
  <c r="E800" i="4"/>
  <c r="D800" i="4"/>
  <c r="E799" i="4"/>
  <c r="D799" i="4"/>
  <c r="E798" i="4"/>
  <c r="D798" i="4"/>
  <c r="E797" i="4"/>
  <c r="D797" i="4"/>
  <c r="E796" i="4"/>
  <c r="D796" i="4"/>
  <c r="E795" i="4"/>
  <c r="D795" i="4"/>
  <c r="E794" i="4"/>
  <c r="D794" i="4"/>
  <c r="E793" i="4"/>
  <c r="D793" i="4"/>
  <c r="E792" i="4"/>
  <c r="D792" i="4"/>
  <c r="E791" i="4"/>
  <c r="D791" i="4"/>
  <c r="E790" i="4"/>
  <c r="D790" i="4"/>
  <c r="E789" i="4"/>
  <c r="D789" i="4"/>
  <c r="E788" i="4"/>
  <c r="D788" i="4"/>
  <c r="E787" i="4"/>
  <c r="D787" i="4"/>
  <c r="E786" i="4"/>
  <c r="D786" i="4"/>
  <c r="E785" i="4"/>
  <c r="D785" i="4"/>
  <c r="E784" i="4"/>
  <c r="D784" i="4"/>
  <c r="E783" i="4"/>
  <c r="D783" i="4"/>
  <c r="E782" i="4"/>
  <c r="D782" i="4"/>
  <c r="E781" i="4"/>
  <c r="D781" i="4"/>
  <c r="E780" i="4"/>
  <c r="D780" i="4"/>
  <c r="E779" i="4"/>
  <c r="D779" i="4"/>
  <c r="E778" i="4"/>
  <c r="D778" i="4"/>
  <c r="E777" i="4"/>
  <c r="D777" i="4"/>
  <c r="E776" i="4"/>
  <c r="D776" i="4"/>
  <c r="E775" i="4"/>
  <c r="D775" i="4"/>
  <c r="E774" i="4"/>
  <c r="D774" i="4"/>
  <c r="E773" i="4"/>
  <c r="D773" i="4"/>
  <c r="E772" i="4"/>
  <c r="D772" i="4"/>
  <c r="E771" i="4"/>
  <c r="D771" i="4"/>
  <c r="E770" i="4"/>
  <c r="D770" i="4"/>
  <c r="E769" i="4"/>
  <c r="D769" i="4"/>
  <c r="E768" i="4"/>
  <c r="D768" i="4"/>
  <c r="E767" i="4"/>
  <c r="D767" i="4"/>
  <c r="E766" i="4"/>
  <c r="D766" i="4"/>
  <c r="E765" i="4"/>
  <c r="D765" i="4"/>
  <c r="E764" i="4"/>
  <c r="D764" i="4"/>
  <c r="E763" i="4"/>
  <c r="D763" i="4"/>
  <c r="E762" i="4"/>
  <c r="D762" i="4"/>
  <c r="E761" i="4"/>
  <c r="D761" i="4"/>
  <c r="E760" i="4"/>
  <c r="D760" i="4"/>
  <c r="E759" i="4"/>
  <c r="D759" i="4"/>
  <c r="E758" i="4"/>
  <c r="D758" i="4"/>
  <c r="E757" i="4"/>
  <c r="D757" i="4"/>
  <c r="E756" i="4"/>
  <c r="D756" i="4"/>
  <c r="E755" i="4"/>
  <c r="D755" i="4"/>
  <c r="E754" i="4"/>
  <c r="D754" i="4"/>
  <c r="E753" i="4"/>
  <c r="D753" i="4"/>
  <c r="E752" i="4"/>
  <c r="D752" i="4"/>
  <c r="E751" i="4"/>
  <c r="D751" i="4"/>
  <c r="E750" i="4"/>
  <c r="D750" i="4"/>
  <c r="E749" i="4"/>
  <c r="D749" i="4"/>
  <c r="E748" i="4"/>
  <c r="D748" i="4"/>
  <c r="E747" i="4"/>
  <c r="D747" i="4"/>
  <c r="E746" i="4"/>
  <c r="D746" i="4"/>
  <c r="E745" i="4"/>
  <c r="D745" i="4"/>
  <c r="E744" i="4"/>
  <c r="D744" i="4"/>
  <c r="E743" i="4"/>
  <c r="D743" i="4"/>
  <c r="E742" i="4"/>
  <c r="D742" i="4"/>
  <c r="E741" i="4"/>
  <c r="D741" i="4"/>
  <c r="E740" i="4"/>
  <c r="D740" i="4"/>
  <c r="E739" i="4"/>
  <c r="D739" i="4"/>
  <c r="E738" i="4"/>
  <c r="D738" i="4"/>
  <c r="E737" i="4"/>
  <c r="D737" i="4"/>
  <c r="E736" i="4"/>
  <c r="D736" i="4"/>
  <c r="E735" i="4"/>
  <c r="D735" i="4"/>
  <c r="E734" i="4"/>
  <c r="D734" i="4"/>
  <c r="E733" i="4"/>
  <c r="D733" i="4"/>
  <c r="E732" i="4"/>
  <c r="D732" i="4"/>
  <c r="E731" i="4"/>
  <c r="D731" i="4"/>
  <c r="E730" i="4"/>
  <c r="D730" i="4"/>
  <c r="E729" i="4"/>
  <c r="D729" i="4"/>
  <c r="E728" i="4"/>
  <c r="D728" i="4"/>
  <c r="E727" i="4"/>
  <c r="D727" i="4"/>
  <c r="E726" i="4"/>
  <c r="D726" i="4"/>
  <c r="E725" i="4"/>
  <c r="D725" i="4"/>
  <c r="E724" i="4"/>
  <c r="D724" i="4"/>
  <c r="E723" i="4"/>
  <c r="D723" i="4"/>
  <c r="E722" i="4"/>
  <c r="D722" i="4"/>
  <c r="E721" i="4"/>
  <c r="D721" i="4"/>
  <c r="E720" i="4"/>
  <c r="D720" i="4"/>
  <c r="E719" i="4"/>
  <c r="D719" i="4"/>
  <c r="E718" i="4"/>
  <c r="D718" i="4"/>
  <c r="E717" i="4"/>
  <c r="D717" i="4"/>
  <c r="E716" i="4"/>
  <c r="D716" i="4"/>
  <c r="E715" i="4"/>
  <c r="D715" i="4"/>
  <c r="E714" i="4"/>
  <c r="D714" i="4"/>
  <c r="E713" i="4"/>
  <c r="D713" i="4"/>
  <c r="E712" i="4"/>
  <c r="D712" i="4"/>
  <c r="E711" i="4"/>
  <c r="D711" i="4"/>
  <c r="E710" i="4"/>
  <c r="D710" i="4"/>
  <c r="E709" i="4"/>
  <c r="D709" i="4"/>
  <c r="E708" i="4"/>
  <c r="D708" i="4"/>
  <c r="E707" i="4"/>
  <c r="D707" i="4"/>
  <c r="E706" i="4"/>
  <c r="D706" i="4"/>
  <c r="E705" i="4"/>
  <c r="D705" i="4"/>
  <c r="E704" i="4"/>
  <c r="D704" i="4"/>
  <c r="E703" i="4"/>
  <c r="D703" i="4"/>
  <c r="E702" i="4"/>
  <c r="D702" i="4"/>
  <c r="E701" i="4"/>
  <c r="E700" i="4"/>
  <c r="E699" i="4"/>
  <c r="E698" i="4"/>
  <c r="E697" i="4"/>
  <c r="E696" i="4"/>
  <c r="E695" i="4"/>
  <c r="E694" i="4"/>
  <c r="E693" i="4"/>
  <c r="E692" i="4"/>
  <c r="E691" i="4"/>
  <c r="E690" i="4"/>
  <c r="E689" i="4"/>
  <c r="E688" i="4"/>
  <c r="E687" i="4"/>
  <c r="E686" i="4"/>
  <c r="E685" i="4"/>
  <c r="E684" i="4"/>
  <c r="E683" i="4"/>
  <c r="E682" i="4"/>
  <c r="E681" i="4"/>
  <c r="E680" i="4"/>
  <c r="E679" i="4"/>
  <c r="E678" i="4"/>
  <c r="E677" i="4"/>
  <c r="E676" i="4"/>
  <c r="E675" i="4"/>
  <c r="E674" i="4"/>
  <c r="E673" i="4"/>
  <c r="E672" i="4"/>
  <c r="E671" i="4"/>
  <c r="E670" i="4"/>
  <c r="E669" i="4"/>
  <c r="E668" i="4"/>
  <c r="E667" i="4"/>
  <c r="E666" i="4"/>
  <c r="E665" i="4"/>
  <c r="E664" i="4"/>
  <c r="E663" i="4"/>
  <c r="E662" i="4"/>
  <c r="E661" i="4"/>
  <c r="E660" i="4"/>
  <c r="E659" i="4"/>
  <c r="E658" i="4"/>
  <c r="E657" i="4"/>
  <c r="E656" i="4"/>
  <c r="E655" i="4"/>
  <c r="E654" i="4"/>
  <c r="E653" i="4"/>
  <c r="E652" i="4"/>
  <c r="E651" i="4"/>
  <c r="E650" i="4"/>
  <c r="E649" i="4"/>
  <c r="E648" i="4"/>
  <c r="E647" i="4"/>
  <c r="E646" i="4"/>
  <c r="E645" i="4"/>
  <c r="E644" i="4"/>
  <c r="E643" i="4"/>
  <c r="E642" i="4"/>
  <c r="E641" i="4"/>
  <c r="E640" i="4"/>
  <c r="E639" i="4"/>
  <c r="E638" i="4"/>
  <c r="E637" i="4"/>
  <c r="E636" i="4"/>
  <c r="E635" i="4"/>
  <c r="E634" i="4"/>
  <c r="E633" i="4"/>
  <c r="E632" i="4"/>
  <c r="E631" i="4"/>
  <c r="E630" i="4"/>
  <c r="E629" i="4"/>
  <c r="E628" i="4"/>
  <c r="E627" i="4"/>
  <c r="E626" i="4"/>
  <c r="E625" i="4"/>
  <c r="E624" i="4"/>
  <c r="E623" i="4"/>
  <c r="E622" i="4"/>
  <c r="E621" i="4"/>
  <c r="E620" i="4"/>
  <c r="E619" i="4"/>
  <c r="E618" i="4"/>
  <c r="E617" i="4"/>
  <c r="E616" i="4"/>
  <c r="E615" i="4"/>
  <c r="E614" i="4"/>
  <c r="E613" i="4"/>
  <c r="E612" i="4"/>
  <c r="E611" i="4"/>
  <c r="E610" i="4"/>
  <c r="E609" i="4"/>
  <c r="E608" i="4"/>
  <c r="E607" i="4"/>
  <c r="E606" i="4"/>
  <c r="E605" i="4"/>
  <c r="E604" i="4"/>
  <c r="E603" i="4"/>
  <c r="E602" i="4"/>
  <c r="E601" i="4"/>
  <c r="E600" i="4"/>
  <c r="E599" i="4"/>
  <c r="E598" i="4"/>
  <c r="E597" i="4"/>
  <c r="E596" i="4"/>
  <c r="E595" i="4"/>
  <c r="E594" i="4"/>
  <c r="E593" i="4"/>
  <c r="E592" i="4"/>
  <c r="E591" i="4"/>
  <c r="E590" i="4"/>
  <c r="E589" i="4"/>
  <c r="E588" i="4"/>
  <c r="E587" i="4"/>
  <c r="E586" i="4"/>
  <c r="E585" i="4"/>
  <c r="E584" i="4"/>
  <c r="E583" i="4"/>
  <c r="E582" i="4"/>
  <c r="E581" i="4"/>
  <c r="E580" i="4"/>
  <c r="E579" i="4"/>
  <c r="E578" i="4"/>
  <c r="E577" i="4"/>
  <c r="E576" i="4"/>
  <c r="E575" i="4"/>
  <c r="E574" i="4"/>
  <c r="E573" i="4"/>
  <c r="E572" i="4"/>
  <c r="E571" i="4"/>
  <c r="E570" i="4"/>
  <c r="E569" i="4"/>
  <c r="E568" i="4"/>
  <c r="E567" i="4"/>
  <c r="E566" i="4"/>
  <c r="E565" i="4"/>
  <c r="E564" i="4"/>
  <c r="E563" i="4"/>
  <c r="E562" i="4"/>
  <c r="E561" i="4"/>
  <c r="E560" i="4"/>
  <c r="E559" i="4"/>
  <c r="E558" i="4"/>
  <c r="E557" i="4"/>
  <c r="E556" i="4"/>
  <c r="E555" i="4"/>
  <c r="E554" i="4"/>
  <c r="E553" i="4"/>
  <c r="E552" i="4"/>
  <c r="E551" i="4"/>
  <c r="E550" i="4"/>
  <c r="E549" i="4"/>
  <c r="E548" i="4"/>
  <c r="E547" i="4"/>
  <c r="E546" i="4"/>
  <c r="E545" i="4"/>
  <c r="E544" i="4"/>
  <c r="E543" i="4"/>
  <c r="E542" i="4"/>
  <c r="E541" i="4"/>
  <c r="E540" i="4"/>
  <c r="E539" i="4"/>
  <c r="E538" i="4"/>
  <c r="E537" i="4"/>
  <c r="E536" i="4"/>
  <c r="E535" i="4"/>
  <c r="E534" i="4"/>
  <c r="E533" i="4"/>
  <c r="E532" i="4"/>
  <c r="E531" i="4"/>
  <c r="E530" i="4"/>
  <c r="E529" i="4"/>
  <c r="E528" i="4"/>
  <c r="E527" i="4"/>
  <c r="E526" i="4"/>
  <c r="E525" i="4"/>
  <c r="E524" i="4"/>
  <c r="E523" i="4"/>
  <c r="E522" i="4"/>
  <c r="E521" i="4"/>
  <c r="E520" i="4"/>
  <c r="E519" i="4"/>
  <c r="E518" i="4"/>
  <c r="E517" i="4"/>
  <c r="E516" i="4"/>
  <c r="E515" i="4"/>
  <c r="E514" i="4"/>
  <c r="E513" i="4"/>
  <c r="E512" i="4"/>
  <c r="E511" i="4"/>
  <c r="E510" i="4"/>
  <c r="E509" i="4"/>
  <c r="E508" i="4"/>
  <c r="E507" i="4"/>
  <c r="E506" i="4"/>
  <c r="E505" i="4"/>
  <c r="E504" i="4"/>
  <c r="E503" i="4"/>
  <c r="E502" i="4"/>
  <c r="E501" i="4"/>
  <c r="E500" i="4"/>
  <c r="E499" i="4"/>
  <c r="E498" i="4"/>
  <c r="E497" i="4"/>
  <c r="E496" i="4"/>
  <c r="E495" i="4"/>
  <c r="E494" i="4"/>
  <c r="E493" i="4"/>
  <c r="E492" i="4"/>
  <c r="E491" i="4"/>
  <c r="E490" i="4"/>
  <c r="E489" i="4"/>
  <c r="E488" i="4"/>
  <c r="E487" i="4"/>
  <c r="E486" i="4"/>
  <c r="E485" i="4"/>
  <c r="E484" i="4"/>
  <c r="E483" i="4"/>
  <c r="E482" i="4"/>
  <c r="E481" i="4"/>
  <c r="E480" i="4"/>
  <c r="E479" i="4"/>
  <c r="E478" i="4"/>
  <c r="E477" i="4"/>
  <c r="E476" i="4"/>
  <c r="E475" i="4"/>
  <c r="E474" i="4"/>
  <c r="E473" i="4"/>
  <c r="E472" i="4"/>
  <c r="E471" i="4"/>
  <c r="E470" i="4"/>
  <c r="E469" i="4"/>
  <c r="E468" i="4"/>
  <c r="E467" i="4"/>
  <c r="E466" i="4"/>
  <c r="E465" i="4"/>
  <c r="E464" i="4"/>
  <c r="E463" i="4"/>
  <c r="E462" i="4"/>
  <c r="E461" i="4"/>
  <c r="E460" i="4"/>
  <c r="E459" i="4"/>
  <c r="E458" i="4"/>
  <c r="E457" i="4"/>
  <c r="E456" i="4"/>
  <c r="E455" i="4"/>
  <c r="E454" i="4"/>
  <c r="E453" i="4"/>
  <c r="E452" i="4"/>
  <c r="E451" i="4"/>
  <c r="E450" i="4"/>
  <c r="E449" i="4"/>
  <c r="E448" i="4"/>
  <c r="E447" i="4"/>
  <c r="E446" i="4"/>
  <c r="E445" i="4"/>
  <c r="E444" i="4"/>
  <c r="E443" i="4"/>
  <c r="E442" i="4"/>
  <c r="E441" i="4"/>
  <c r="E440" i="4"/>
  <c r="E439" i="4"/>
  <c r="E438" i="4"/>
  <c r="E437" i="4"/>
  <c r="E436" i="4"/>
  <c r="E435" i="4"/>
  <c r="E434" i="4"/>
  <c r="E433" i="4"/>
  <c r="E432" i="4"/>
  <c r="E431" i="4"/>
  <c r="E430" i="4"/>
  <c r="E429" i="4"/>
  <c r="E428" i="4"/>
  <c r="E427" i="4"/>
  <c r="E426" i="4"/>
  <c r="E425" i="4"/>
  <c r="E424" i="4"/>
  <c r="E423" i="4"/>
  <c r="E422" i="4"/>
  <c r="E421" i="4"/>
  <c r="E420" i="4"/>
  <c r="E419" i="4"/>
  <c r="E418" i="4"/>
  <c r="E417" i="4"/>
  <c r="E416" i="4"/>
  <c r="E415" i="4"/>
  <c r="E414" i="4"/>
  <c r="E413" i="4"/>
  <c r="E412" i="4"/>
  <c r="E411" i="4"/>
  <c r="E410" i="4"/>
  <c r="E409" i="4"/>
  <c r="E408" i="4"/>
  <c r="E407" i="4"/>
  <c r="E406" i="4"/>
  <c r="E405" i="4"/>
  <c r="E404" i="4"/>
  <c r="E403" i="4"/>
  <c r="E402" i="4"/>
  <c r="E401" i="4"/>
  <c r="E400" i="4"/>
  <c r="E399" i="4"/>
  <c r="E398" i="4"/>
  <c r="E397" i="4"/>
  <c r="E396" i="4"/>
  <c r="E395" i="4"/>
  <c r="E394" i="4"/>
  <c r="E393" i="4"/>
  <c r="E392" i="4"/>
  <c r="E391" i="4"/>
  <c r="E390" i="4"/>
  <c r="E389" i="4"/>
  <c r="E388" i="4"/>
  <c r="E387" i="4"/>
  <c r="E386" i="4"/>
  <c r="E385" i="4"/>
  <c r="E384" i="4"/>
  <c r="E383" i="4"/>
  <c r="E382" i="4"/>
  <c r="E381" i="4"/>
  <c r="E380" i="4"/>
  <c r="E379" i="4"/>
  <c r="E378" i="4"/>
  <c r="E377" i="4"/>
  <c r="E376" i="4"/>
  <c r="E375" i="4"/>
  <c r="E374" i="4"/>
  <c r="E373" i="4"/>
  <c r="E372" i="4"/>
  <c r="E371" i="4"/>
  <c r="E370" i="4"/>
  <c r="E369" i="4"/>
  <c r="E368" i="4"/>
  <c r="E367" i="4"/>
  <c r="E366" i="4"/>
  <c r="E365" i="4"/>
  <c r="E364" i="4"/>
  <c r="E363" i="4"/>
  <c r="E362" i="4"/>
  <c r="E361" i="4"/>
  <c r="E360" i="4"/>
  <c r="E359" i="4"/>
  <c r="E358" i="4"/>
  <c r="E357" i="4"/>
  <c r="E356" i="4"/>
  <c r="E355" i="4"/>
  <c r="E354" i="4"/>
  <c r="E353" i="4"/>
  <c r="E352" i="4"/>
  <c r="E351" i="4"/>
  <c r="E350" i="4"/>
  <c r="E349" i="4"/>
  <c r="E348" i="4"/>
  <c r="E347" i="4"/>
  <c r="E346" i="4"/>
  <c r="E345" i="4"/>
  <c r="E344" i="4"/>
  <c r="E343" i="4"/>
  <c r="E342" i="4"/>
  <c r="E341" i="4"/>
  <c r="E340" i="4"/>
  <c r="E339" i="4"/>
  <c r="E338" i="4"/>
  <c r="E337" i="4"/>
  <c r="E336" i="4"/>
  <c r="E335" i="4"/>
  <c r="E334" i="4"/>
  <c r="E333" i="4"/>
  <c r="E332" i="4"/>
  <c r="E331" i="4"/>
  <c r="E330" i="4"/>
  <c r="E329" i="4"/>
  <c r="E328" i="4"/>
  <c r="E327" i="4"/>
  <c r="E326" i="4"/>
  <c r="E325" i="4"/>
  <c r="E324" i="4"/>
  <c r="E323" i="4"/>
  <c r="E322" i="4"/>
  <c r="E321" i="4"/>
  <c r="E320" i="4"/>
  <c r="E319" i="4"/>
  <c r="E318" i="4"/>
  <c r="E317" i="4"/>
  <c r="E316" i="4"/>
  <c r="E315" i="4"/>
  <c r="E314" i="4"/>
  <c r="E313" i="4"/>
  <c r="E312" i="4"/>
  <c r="E311" i="4"/>
  <c r="E310" i="4"/>
  <c r="E309" i="4"/>
  <c r="E308" i="4"/>
  <c r="E307" i="4"/>
  <c r="E306" i="4"/>
  <c r="E305" i="4"/>
  <c r="E304" i="4"/>
  <c r="E303" i="4"/>
  <c r="E302" i="4"/>
  <c r="E301" i="4"/>
  <c r="E300" i="4"/>
  <c r="E299" i="4"/>
  <c r="E298" i="4"/>
  <c r="E297" i="4"/>
  <c r="E296" i="4"/>
  <c r="E295" i="4"/>
  <c r="E294" i="4"/>
  <c r="E293" i="4"/>
  <c r="E292" i="4"/>
  <c r="E291" i="4"/>
  <c r="E290" i="4"/>
  <c r="E289" i="4"/>
  <c r="E288" i="4"/>
  <c r="E287" i="4"/>
  <c r="E286" i="4"/>
  <c r="E285" i="4"/>
  <c r="E284" i="4"/>
  <c r="E283" i="4"/>
  <c r="E282" i="4"/>
  <c r="E281" i="4"/>
  <c r="E280" i="4"/>
  <c r="E279" i="4"/>
  <c r="E278" i="4"/>
  <c r="E277" i="4"/>
  <c r="E276" i="4"/>
  <c r="E275" i="4"/>
  <c r="E274" i="4"/>
  <c r="E273" i="4"/>
  <c r="E272" i="4"/>
  <c r="E271" i="4"/>
  <c r="E270" i="4"/>
  <c r="E269" i="4"/>
  <c r="E268" i="4"/>
  <c r="E267" i="4"/>
  <c r="E266" i="4"/>
  <c r="E265" i="4"/>
  <c r="E264" i="4"/>
  <c r="E263" i="4"/>
  <c r="E262" i="4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E245" i="4"/>
  <c r="E244" i="4"/>
  <c r="E243" i="4"/>
  <c r="E242" i="4"/>
  <c r="E241" i="4"/>
  <c r="E240" i="4"/>
  <c r="E239" i="4"/>
  <c r="E238" i="4"/>
  <c r="E237" i="4"/>
  <c r="E236" i="4"/>
  <c r="E235" i="4"/>
  <c r="E234" i="4"/>
  <c r="E233" i="4"/>
  <c r="E232" i="4"/>
  <c r="E231" i="4"/>
  <c r="E230" i="4"/>
  <c r="E229" i="4"/>
  <c r="E228" i="4"/>
  <c r="E227" i="4"/>
  <c r="E226" i="4"/>
  <c r="E225" i="4"/>
  <c r="E224" i="4"/>
  <c r="E223" i="4"/>
  <c r="E222" i="4"/>
  <c r="E221" i="4"/>
  <c r="E220" i="4"/>
  <c r="E219" i="4"/>
  <c r="E218" i="4"/>
  <c r="E217" i="4"/>
  <c r="E216" i="4"/>
  <c r="E215" i="4"/>
  <c r="E214" i="4"/>
  <c r="E213" i="4"/>
  <c r="E212" i="4"/>
  <c r="E211" i="4"/>
  <c r="E210" i="4"/>
  <c r="E209" i="4"/>
  <c r="E208" i="4"/>
  <c r="E207" i="4"/>
  <c r="E206" i="4"/>
  <c r="E205" i="4"/>
  <c r="E204" i="4"/>
  <c r="E203" i="4"/>
  <c r="E202" i="4"/>
  <c r="E201" i="4"/>
  <c r="E200" i="4"/>
  <c r="E199" i="4"/>
  <c r="E198" i="4"/>
  <c r="E197" i="4"/>
  <c r="E196" i="4"/>
  <c r="E195" i="4"/>
  <c r="E194" i="4"/>
  <c r="E193" i="4"/>
  <c r="E192" i="4"/>
  <c r="E191" i="4"/>
  <c r="E190" i="4"/>
  <c r="E189" i="4"/>
  <c r="E188" i="4"/>
  <c r="E187" i="4"/>
  <c r="E186" i="4"/>
  <c r="E185" i="4"/>
  <c r="E184" i="4"/>
  <c r="E183" i="4"/>
  <c r="E182" i="4"/>
  <c r="E181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4" i="4"/>
  <c r="E163" i="4"/>
  <c r="E162" i="4"/>
  <c r="E161" i="4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E2" i="4"/>
  <c r="G36" i="3"/>
  <c r="G35" i="3"/>
  <c r="G34" i="3"/>
  <c r="G33" i="3"/>
  <c r="G32" i="3"/>
  <c r="G31" i="3"/>
  <c r="G30" i="3"/>
  <c r="G29" i="3"/>
  <c r="G27" i="3"/>
  <c r="G26" i="3"/>
  <c r="G25" i="3"/>
  <c r="G24" i="3"/>
  <c r="G23" i="3"/>
  <c r="G21" i="3"/>
  <c r="G20" i="3"/>
  <c r="G19" i="3"/>
  <c r="G18" i="3"/>
  <c r="G16" i="3"/>
  <c r="G15" i="3"/>
  <c r="G14" i="3"/>
  <c r="G13" i="3"/>
  <c r="G12" i="3"/>
  <c r="G11" i="3"/>
  <c r="G10" i="3"/>
  <c r="G9" i="3"/>
  <c r="G8" i="3"/>
  <c r="G7" i="3"/>
  <c r="G308" i="1"/>
  <c r="G307" i="1"/>
  <c r="G306" i="1"/>
  <c r="G305" i="1"/>
  <c r="G304" i="1"/>
  <c r="G303" i="1"/>
  <c r="G302" i="1"/>
  <c r="G299" i="1"/>
  <c r="G297" i="1"/>
  <c r="G296" i="1"/>
  <c r="G295" i="1"/>
  <c r="G294" i="1"/>
  <c r="G293" i="1"/>
  <c r="G292" i="1"/>
  <c r="G291" i="1"/>
  <c r="G289" i="1"/>
  <c r="G288" i="1"/>
  <c r="G287" i="1"/>
  <c r="G286" i="1"/>
  <c r="G285" i="1"/>
  <c r="G284" i="1"/>
  <c r="G283" i="1"/>
  <c r="G282" i="1"/>
  <c r="G279" i="1"/>
  <c r="G278" i="1"/>
  <c r="G277" i="1"/>
  <c r="G275" i="1"/>
  <c r="G274" i="1"/>
  <c r="G272" i="1"/>
  <c r="G271" i="1"/>
  <c r="G269" i="1"/>
  <c r="G268" i="1"/>
  <c r="G266" i="1"/>
  <c r="G265" i="1"/>
  <c r="G264" i="1"/>
  <c r="G263" i="1"/>
  <c r="G262" i="1"/>
  <c r="G261" i="1"/>
  <c r="G260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5" i="1"/>
  <c r="G234" i="1"/>
  <c r="G233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2" i="1"/>
  <c r="G211" i="1"/>
  <c r="G210" i="1"/>
  <c r="G209" i="1"/>
  <c r="G208" i="1"/>
  <c r="G207" i="1"/>
  <c r="G206" i="1"/>
  <c r="G205" i="1"/>
  <c r="G204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0" i="1"/>
  <c r="G179" i="1"/>
  <c r="G178" i="1"/>
  <c r="G177" i="1"/>
  <c r="G176" i="1"/>
  <c r="G175" i="1"/>
  <c r="G174" i="1"/>
  <c r="G173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7" i="1"/>
  <c r="G106" i="1"/>
  <c r="G105" i="1"/>
  <c r="G104" i="1"/>
  <c r="G103" i="1"/>
  <c r="G101" i="1"/>
  <c r="G100" i="1"/>
  <c r="G99" i="1"/>
  <c r="G98" i="1"/>
  <c r="G96" i="1"/>
  <c r="G94" i="1"/>
  <c r="G93" i="1"/>
  <c r="G91" i="1"/>
  <c r="G90" i="1"/>
  <c r="G87" i="1"/>
  <c r="G86" i="1"/>
  <c r="G85" i="1"/>
  <c r="G83" i="1"/>
  <c r="G82" i="1"/>
  <c r="G81" i="1"/>
  <c r="G80" i="1"/>
  <c r="G79" i="1"/>
  <c r="G77" i="1"/>
  <c r="G76" i="1"/>
  <c r="G75" i="1"/>
  <c r="G74" i="1"/>
  <c r="G73" i="1"/>
  <c r="G72" i="1"/>
  <c r="G70" i="1"/>
  <c r="G69" i="1"/>
  <c r="G68" i="1"/>
  <c r="G67" i="1"/>
  <c r="G66" i="1"/>
  <c r="G65" i="1"/>
  <c r="G63" i="1"/>
  <c r="G62" i="1"/>
  <c r="G61" i="1"/>
  <c r="G60" i="1"/>
  <c r="G59" i="1"/>
  <c r="G57" i="1"/>
  <c r="G56" i="1"/>
  <c r="G55" i="1"/>
  <c r="G54" i="1"/>
  <c r="G53" i="1"/>
  <c r="G52" i="1"/>
  <c r="G51" i="1"/>
  <c r="G50" i="1"/>
  <c r="G49" i="1"/>
  <c r="G48" i="1"/>
  <c r="G46" i="1"/>
  <c r="G44" i="1"/>
  <c r="G43" i="1"/>
  <c r="G42" i="1"/>
  <c r="G41" i="1"/>
  <c r="G40" i="1"/>
  <c r="G39" i="1"/>
  <c r="G38" i="1"/>
  <c r="G37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8" i="1"/>
  <c r="G17" i="1"/>
  <c r="G16" i="1"/>
  <c r="G14" i="1"/>
  <c r="G13" i="1"/>
  <c r="G9" i="1"/>
  <c r="G8" i="1"/>
  <c r="G7" i="1"/>
  <c r="G6" i="1"/>
  <c r="G4" i="1"/>
  <c r="G3" i="1"/>
</calcChain>
</file>

<file path=xl/sharedStrings.xml><?xml version="1.0" encoding="utf-8"?>
<sst xmlns="http://schemas.openxmlformats.org/spreadsheetml/2006/main" count="7822" uniqueCount="4066">
  <si>
    <t>STT</t>
  </si>
  <si>
    <t>Bài</t>
  </si>
  <si>
    <t>Tên Bài</t>
  </si>
  <si>
    <t>Từ vựng</t>
  </si>
  <si>
    <t xml:space="preserve">Từ loại </t>
  </si>
  <si>
    <t>Phiên âm</t>
  </si>
  <si>
    <t>Nghĩa</t>
  </si>
  <si>
    <t>1. Con người &amp; Các mối quan hệ</t>
  </si>
  <si>
    <t>Ví dụ</t>
  </si>
  <si>
    <t>Ghi chú</t>
  </si>
  <si>
    <t>大兴机场见！</t>
  </si>
  <si>
    <t>爱</t>
  </si>
  <si>
    <t>Động từ</t>
  </si>
  <si>
    <t>ài</t>
  </si>
  <si>
    <t>yêu, thích</t>
  </si>
  <si>
    <t>3. Cảm xúc &amp; Thái độ</t>
  </si>
  <si>
    <t>Chủ đề</t>
  </si>
  <si>
    <t>我有两个孩子</t>
  </si>
  <si>
    <t>八</t>
  </si>
  <si>
    <t>Số từ</t>
  </si>
  <si>
    <t>bā</t>
  </si>
  <si>
    <t>14. Số lượng &amp; Đo lường</t>
  </si>
  <si>
    <t>爸爸</t>
  </si>
  <si>
    <t>Danh từ</t>
  </si>
  <si>
    <t>bàba</t>
  </si>
  <si>
    <t>我晚上六点半下班</t>
  </si>
  <si>
    <t>吧</t>
  </si>
  <si>
    <t>Trợ từ</t>
  </si>
  <si>
    <t>ba</t>
  </si>
  <si>
    <t xml:space="preserve">nào; nhé; chứ; thôi; đi
</t>
  </si>
  <si>
    <t>15. Công cụ ngữ pháp &amp; Cấu trúc</t>
  </si>
  <si>
    <t>我明天上午在学校学习</t>
  </si>
  <si>
    <t>白天</t>
  </si>
  <si>
    <t>báitiān</t>
  </si>
  <si>
    <t>10. Thời gian</t>
  </si>
  <si>
    <t>百</t>
  </si>
  <si>
    <t>bǎi</t>
  </si>
  <si>
    <t>半</t>
  </si>
  <si>
    <t>bàn</t>
  </si>
  <si>
    <t>你的手机号码是多少</t>
  </si>
  <si>
    <t>包子</t>
  </si>
  <si>
    <t>bāozi</t>
  </si>
  <si>
    <t>17. Đồ ăn &amp; Thức uống</t>
  </si>
  <si>
    <t>请给我一杯茶</t>
  </si>
  <si>
    <t>杯</t>
  </si>
  <si>
    <t>Lượng từ, Danh từ</t>
  </si>
  <si>
    <t>bēi</t>
  </si>
  <si>
    <t>ly; cốc</t>
  </si>
  <si>
    <t>6. Đồ vật &amp; Công cụ</t>
  </si>
  <si>
    <t>这儿的苹果真便宜</t>
  </si>
  <si>
    <t>杯子</t>
  </si>
  <si>
    <t>bēizi</t>
  </si>
  <si>
    <t xml:space="preserve"> ly; cốc; chén; tách</t>
  </si>
  <si>
    <t>本</t>
  </si>
  <si>
    <t>Lượng từ</t>
  </si>
  <si>
    <t>běn</t>
  </si>
  <si>
    <t>vở; tập; cuốn; quyển (dùng cho sách vở sổ sách)</t>
  </si>
  <si>
    <t>边</t>
  </si>
  <si>
    <t>Danh từ, Hậu tố</t>
  </si>
  <si>
    <t>biān</t>
  </si>
  <si>
    <t>9. Không gian &amp; Vị trí</t>
  </si>
  <si>
    <t>昨天下雪了</t>
  </si>
  <si>
    <t>病</t>
  </si>
  <si>
    <t>bìng</t>
  </si>
  <si>
    <t>2. Cơ thể &amp; Sức khỏe</t>
  </si>
  <si>
    <t>我爸爸也在医院工作</t>
  </si>
  <si>
    <t>病人</t>
  </si>
  <si>
    <t>bìngrén</t>
  </si>
  <si>
    <t>bệnh nhân</t>
  </si>
  <si>
    <t>AI 小语，你好！</t>
  </si>
  <si>
    <t>不客气</t>
  </si>
  <si>
    <t>bú kèqi</t>
  </si>
  <si>
    <t>我看了一个电影</t>
  </si>
  <si>
    <t>不要</t>
  </si>
  <si>
    <t>Phó từ</t>
  </si>
  <si>
    <t>búyào</t>
  </si>
  <si>
    <t>我叫李文</t>
  </si>
  <si>
    <t>不</t>
  </si>
  <si>
    <t>bù</t>
  </si>
  <si>
    <t>今天我休息
我晚上六点半下班</t>
  </si>
  <si>
    <t>菜</t>
  </si>
  <si>
    <t>cài</t>
  </si>
  <si>
    <t>món ăn</t>
  </si>
  <si>
    <t>茶</t>
  </si>
  <si>
    <t>chá</t>
  </si>
  <si>
    <t>唱</t>
  </si>
  <si>
    <t>chàng</t>
  </si>
  <si>
    <t>5. Đời sống sinh hoạt</t>
  </si>
  <si>
    <t>超市</t>
  </si>
  <si>
    <t>chāoshì</t>
  </si>
  <si>
    <t>7. Địa điểm &amp; Nơi chốn</t>
  </si>
  <si>
    <t>我读大学了</t>
  </si>
  <si>
    <t>车</t>
  </si>
  <si>
    <t>chē</t>
  </si>
  <si>
    <t>8. Giao thông &amp; Di chuyển</t>
  </si>
  <si>
    <t>吃</t>
  </si>
  <si>
    <t>chī</t>
  </si>
  <si>
    <t>出租车</t>
  </si>
  <si>
    <t>chūzūchē</t>
  </si>
  <si>
    <t>穿</t>
  </si>
  <si>
    <t>chuān</t>
  </si>
  <si>
    <t>打电话</t>
  </si>
  <si>
    <t>dǎ diànhuà</t>
  </si>
  <si>
    <t>我有两个孩子
我爸爸也在医院工作</t>
  </si>
  <si>
    <t>大</t>
  </si>
  <si>
    <t>Tính từ</t>
  </si>
  <si>
    <t>dà</t>
  </si>
  <si>
    <t>13. Miêu tả &amp; Đánh giá</t>
  </si>
  <si>
    <t>大家</t>
  </si>
  <si>
    <t>Đại từ</t>
  </si>
  <si>
    <t>dàjiā</t>
  </si>
  <si>
    <t>大学</t>
  </si>
  <si>
    <t>dàxué</t>
  </si>
  <si>
    <t>大学生</t>
  </si>
  <si>
    <t>dàxuéshēng</t>
  </si>
  <si>
    <t>12. Công việc &amp; Nghề nghiệp</t>
  </si>
  <si>
    <t>到</t>
  </si>
  <si>
    <t>dào</t>
  </si>
  <si>
    <t>我是中国人</t>
  </si>
  <si>
    <t>的</t>
  </si>
  <si>
    <t>de</t>
  </si>
  <si>
    <t>弟弟</t>
  </si>
  <si>
    <t>dìdi</t>
  </si>
  <si>
    <t>第</t>
  </si>
  <si>
    <t>Tiền tố</t>
  </si>
  <si>
    <t>dì</t>
  </si>
  <si>
    <t>(tiền tố) đứng trước số thứ tự</t>
  </si>
  <si>
    <t>点</t>
  </si>
  <si>
    <t>diǎn</t>
  </si>
  <si>
    <t>giờ</t>
  </si>
  <si>
    <t>电话</t>
  </si>
  <si>
    <t>diànhuà</t>
  </si>
  <si>
    <t>今天我休息</t>
  </si>
  <si>
    <t>电脑</t>
  </si>
  <si>
    <t>diànnǎo</t>
  </si>
  <si>
    <t>电视</t>
  </si>
  <si>
    <t>diànshì</t>
  </si>
  <si>
    <t>电影</t>
  </si>
  <si>
    <t>diànyǐng</t>
  </si>
  <si>
    <t>电影院</t>
  </si>
  <si>
    <t>diànyǐngyuàn</t>
  </si>
  <si>
    <t>店</t>
  </si>
  <si>
    <t>diàn</t>
  </si>
  <si>
    <t>东西</t>
  </si>
  <si>
    <t>dōngxi</t>
  </si>
  <si>
    <t>都</t>
  </si>
  <si>
    <t>dōu</t>
  </si>
  <si>
    <t>读</t>
  </si>
  <si>
    <t>dú</t>
  </si>
  <si>
    <t>đọc, đi học</t>
  </si>
  <si>
    <t>4. Tư duy &amp; Nhận thức</t>
  </si>
  <si>
    <t>读书</t>
  </si>
  <si>
    <t>dúshū</t>
  </si>
  <si>
    <t>我是中国人
我读大学了</t>
  </si>
  <si>
    <t>对</t>
  </si>
  <si>
    <t>Tính từ, Giới từ</t>
  </si>
  <si>
    <t>duì</t>
  </si>
  <si>
    <t>tính từ - đúng, phải
giới từ - đối với...</t>
  </si>
  <si>
    <t>对不起</t>
  </si>
  <si>
    <t>duìbuqǐ</t>
  </si>
  <si>
    <t>多</t>
  </si>
  <si>
    <t>duō</t>
  </si>
  <si>
    <t>多少</t>
  </si>
  <si>
    <t>duōshao</t>
  </si>
  <si>
    <t>儿子</t>
  </si>
  <si>
    <t>érzi</t>
  </si>
  <si>
    <t>二</t>
  </si>
  <si>
    <t>èr</t>
  </si>
  <si>
    <t>饭</t>
  </si>
  <si>
    <t>fàn</t>
  </si>
  <si>
    <t>饭店</t>
  </si>
  <si>
    <t>fàndiàn</t>
  </si>
  <si>
    <t>房间</t>
  </si>
  <si>
    <t>fángjiān</t>
  </si>
  <si>
    <t>飞机</t>
  </si>
  <si>
    <t>fēijī</t>
  </si>
  <si>
    <t>非常</t>
  </si>
  <si>
    <t>fēicháng</t>
  </si>
  <si>
    <t>分</t>
  </si>
  <si>
    <t>fēn</t>
  </si>
  <si>
    <t>lượng từ dành cho phút</t>
  </si>
  <si>
    <t>分钟</t>
  </si>
  <si>
    <t>fēnzhōng</t>
  </si>
  <si>
    <t>服务员</t>
  </si>
  <si>
    <t>fúwùyuán</t>
  </si>
  <si>
    <t>高兴</t>
  </si>
  <si>
    <t>gāoxìng</t>
  </si>
  <si>
    <t>哥哥</t>
  </si>
  <si>
    <t>gēge</t>
  </si>
  <si>
    <t>歌</t>
  </si>
  <si>
    <t>gē</t>
  </si>
  <si>
    <t>个</t>
  </si>
  <si>
    <t>gè</t>
  </si>
  <si>
    <t>cái</t>
  </si>
  <si>
    <t>给</t>
  </si>
  <si>
    <t>gěi</t>
  </si>
  <si>
    <t>我是中国人
我爸爸也在医院工作</t>
  </si>
  <si>
    <t>工作</t>
  </si>
  <si>
    <t>gōngzuò</t>
  </si>
  <si>
    <t>公司</t>
  </si>
  <si>
    <t>gōngsī</t>
  </si>
  <si>
    <t>狗</t>
  </si>
  <si>
    <t>gǒu</t>
  </si>
  <si>
    <t>16. Tự nhiên</t>
  </si>
  <si>
    <t>贵</t>
  </si>
  <si>
    <t>guì</t>
  </si>
  <si>
    <t>国</t>
  </si>
  <si>
    <t>guó</t>
  </si>
  <si>
    <t>还</t>
  </si>
  <si>
    <t>hái</t>
  </si>
  <si>
    <t>vẫn</t>
  </si>
  <si>
    <t>孩子</t>
  </si>
  <si>
    <t>háizi</t>
  </si>
  <si>
    <t>好</t>
  </si>
  <si>
    <t>hǎo</t>
  </si>
  <si>
    <t>好吃</t>
  </si>
  <si>
    <t>hǎochī</t>
  </si>
  <si>
    <t>好看</t>
  </si>
  <si>
    <t>hǎokàn</t>
  </si>
  <si>
    <t>好听</t>
  </si>
  <si>
    <t>hǎotīng</t>
  </si>
  <si>
    <t>好玩儿</t>
  </si>
  <si>
    <t>hǎowánr</t>
  </si>
  <si>
    <t>号</t>
  </si>
  <si>
    <t>hào</t>
  </si>
  <si>
    <t>lượng từ: dùng cho ngày (ngày tháng)；danh từ: số</t>
  </si>
  <si>
    <t>喝</t>
  </si>
  <si>
    <t>hē</t>
  </si>
  <si>
    <t>和</t>
  </si>
  <si>
    <t>Liên từ, Giới từ</t>
  </si>
  <si>
    <t>hé</t>
  </si>
  <si>
    <t>很</t>
  </si>
  <si>
    <t>hěn</t>
  </si>
  <si>
    <t>后</t>
  </si>
  <si>
    <t>hòu</t>
  </si>
  <si>
    <t>回</t>
  </si>
  <si>
    <t>huí</t>
  </si>
  <si>
    <t>会</t>
  </si>
  <si>
    <t>Động từ năng nguyện</t>
  </si>
  <si>
    <t>huì</t>
  </si>
  <si>
    <t>biết</t>
  </si>
  <si>
    <t>火车</t>
  </si>
  <si>
    <t>huǒchē</t>
  </si>
  <si>
    <t>机场</t>
  </si>
  <si>
    <t>jīchǎng</t>
  </si>
  <si>
    <t>鸡蛋</t>
  </si>
  <si>
    <t>jīdàn</t>
  </si>
  <si>
    <t>我有两个孩子
大兴机场见！</t>
  </si>
  <si>
    <t>几</t>
  </si>
  <si>
    <t>Đại từ, Số từ</t>
  </si>
  <si>
    <t>jǐ</t>
  </si>
  <si>
    <t>bao nhiêu; một vài</t>
  </si>
  <si>
    <t>家</t>
  </si>
  <si>
    <t>Danh từ, Lượng từ</t>
  </si>
  <si>
    <t>jiā</t>
  </si>
  <si>
    <t>gia đình; lượng từ cho cửa hàng</t>
  </si>
  <si>
    <t>家人</t>
  </si>
  <si>
    <t>jiārén</t>
  </si>
  <si>
    <t>见</t>
  </si>
  <si>
    <t>jiàn</t>
  </si>
  <si>
    <t>件</t>
  </si>
  <si>
    <t>mảnh</t>
  </si>
  <si>
    <t>饺子</t>
  </si>
  <si>
    <t>jiǎozi</t>
  </si>
  <si>
    <t>叫</t>
  </si>
  <si>
    <t>jiào</t>
  </si>
  <si>
    <t>接</t>
  </si>
  <si>
    <t>jiē</t>
  </si>
  <si>
    <t>tiếp đón, tiếp đãi</t>
  </si>
  <si>
    <t>姐姐</t>
  </si>
  <si>
    <t>jiějie</t>
  </si>
  <si>
    <t>斤</t>
  </si>
  <si>
    <t>jīn</t>
  </si>
  <si>
    <t>cân</t>
  </si>
  <si>
    <t>今年</t>
  </si>
  <si>
    <t>jīnnián</t>
  </si>
  <si>
    <t>今天</t>
  </si>
  <si>
    <t>jīntiān</t>
  </si>
  <si>
    <t>九</t>
  </si>
  <si>
    <t>jiǔ</t>
  </si>
  <si>
    <t>觉得</t>
  </si>
  <si>
    <t>juéde</t>
  </si>
  <si>
    <t>开</t>
  </si>
  <si>
    <t>kāi</t>
  </si>
  <si>
    <t>mở, khởi động</t>
  </si>
  <si>
    <t>开车</t>
  </si>
  <si>
    <t>kāichē</t>
  </si>
  <si>
    <t>看</t>
  </si>
  <si>
    <t>kàn</t>
  </si>
  <si>
    <t>看病</t>
  </si>
  <si>
    <t>kànbìng</t>
  </si>
  <si>
    <t>看见</t>
  </si>
  <si>
    <t>kànjiàn</t>
  </si>
  <si>
    <t>可以</t>
  </si>
  <si>
    <t>kěyǐ</t>
  </si>
  <si>
    <t>口</t>
  </si>
  <si>
    <t>kǒu</t>
  </si>
  <si>
    <t>người; thành viên</t>
  </si>
  <si>
    <t>块</t>
  </si>
  <si>
    <t>kuài</t>
  </si>
  <si>
    <t>lượng từ dùng cho tiền giấy</t>
  </si>
  <si>
    <t>来</t>
  </si>
  <si>
    <t>lái</t>
  </si>
  <si>
    <t>老师</t>
  </si>
  <si>
    <t>lǎoshī</t>
  </si>
  <si>
    <t>我看了一个电影
昨天下雪了</t>
  </si>
  <si>
    <t>了</t>
  </si>
  <si>
    <t>le</t>
  </si>
  <si>
    <t>冷</t>
  </si>
  <si>
    <t>lěng</t>
  </si>
  <si>
    <t>里</t>
  </si>
  <si>
    <t>lǐ</t>
  </si>
  <si>
    <t>两</t>
  </si>
  <si>
    <t>liǎng</t>
  </si>
  <si>
    <t>零</t>
  </si>
  <si>
    <t>líng</t>
  </si>
  <si>
    <t>六</t>
  </si>
  <si>
    <t>liù</t>
  </si>
  <si>
    <t>妈妈</t>
  </si>
  <si>
    <t>māma</t>
  </si>
  <si>
    <t>吗</t>
  </si>
  <si>
    <t>ma</t>
  </si>
  <si>
    <t>买</t>
  </si>
  <si>
    <t>mǎi</t>
  </si>
  <si>
    <t>卖</t>
  </si>
  <si>
    <t>mài</t>
  </si>
  <si>
    <t>忙</t>
  </si>
  <si>
    <t>máng</t>
  </si>
  <si>
    <t>猫</t>
  </si>
  <si>
    <t>māo</t>
  </si>
  <si>
    <t>没</t>
  </si>
  <si>
    <t>méi</t>
  </si>
  <si>
    <t>没关系</t>
  </si>
  <si>
    <t>méi guānxi</t>
  </si>
  <si>
    <t>没事</t>
  </si>
  <si>
    <t>méishì</t>
  </si>
  <si>
    <t>không có gì</t>
  </si>
  <si>
    <t>没有</t>
  </si>
  <si>
    <t>méiyǒu</t>
  </si>
  <si>
    <t>妹妹</t>
  </si>
  <si>
    <t>mèimei</t>
  </si>
  <si>
    <t>们</t>
  </si>
  <si>
    <t>Hậu tố</t>
  </si>
  <si>
    <t>men</t>
  </si>
  <si>
    <t>米饭</t>
  </si>
  <si>
    <t>mǐfàn</t>
  </si>
  <si>
    <t>面包</t>
  </si>
  <si>
    <t>miànbāo</t>
  </si>
  <si>
    <t>面条儿</t>
  </si>
  <si>
    <t>miàntiáor</t>
  </si>
  <si>
    <t>名字</t>
  </si>
  <si>
    <t>míngzi</t>
  </si>
  <si>
    <t>明年</t>
  </si>
  <si>
    <t>míngnián</t>
  </si>
  <si>
    <t>明天</t>
  </si>
  <si>
    <t>míngtiān</t>
  </si>
  <si>
    <t>哪</t>
  </si>
  <si>
    <t>nǎ</t>
  </si>
  <si>
    <t>哪个</t>
  </si>
  <si>
    <t>nǎge</t>
  </si>
  <si>
    <t>哪里</t>
  </si>
  <si>
    <t>nǎlǐ</t>
  </si>
  <si>
    <t>哪儿</t>
  </si>
  <si>
    <t>nǎr</t>
  </si>
  <si>
    <t>哪些</t>
  </si>
  <si>
    <t>nǎxiē</t>
  </si>
  <si>
    <t>我明天上午在学校学习
大兴机场见！</t>
  </si>
  <si>
    <t>那</t>
  </si>
  <si>
    <t>nà</t>
  </si>
  <si>
    <t>那边</t>
  </si>
  <si>
    <t>nàbiān</t>
  </si>
  <si>
    <t>那个</t>
  </si>
  <si>
    <t>nàge</t>
  </si>
  <si>
    <t>那里</t>
  </si>
  <si>
    <t>nàlǐ</t>
  </si>
  <si>
    <t>那儿</t>
  </si>
  <si>
    <t>nàr</t>
  </si>
  <si>
    <t>那些</t>
  </si>
  <si>
    <t>nàxiē</t>
  </si>
  <si>
    <t>男</t>
  </si>
  <si>
    <t>nán</t>
  </si>
  <si>
    <t>男朋友</t>
  </si>
  <si>
    <t>nánpéngyou</t>
  </si>
  <si>
    <t>我有两个孩子
我晚上六点半下班</t>
  </si>
  <si>
    <t>呢</t>
  </si>
  <si>
    <t>ne</t>
  </si>
  <si>
    <t>Trợ từ đặt cuối câu để khẳng định</t>
  </si>
  <si>
    <t>能</t>
  </si>
  <si>
    <t>néng</t>
  </si>
  <si>
    <t>你</t>
  </si>
  <si>
    <t>nǐ</t>
  </si>
  <si>
    <t>你好</t>
  </si>
  <si>
    <t>nǐ hǎo</t>
  </si>
  <si>
    <t>你们</t>
  </si>
  <si>
    <t>nǐmen</t>
  </si>
  <si>
    <t>年</t>
  </si>
  <si>
    <t>nián</t>
  </si>
  <si>
    <t>您</t>
  </si>
  <si>
    <t>nín</t>
  </si>
  <si>
    <t>牛奶</t>
  </si>
  <si>
    <t>niúnǎi</t>
  </si>
  <si>
    <t>女</t>
  </si>
  <si>
    <t>nǚ</t>
  </si>
  <si>
    <t>女儿</t>
  </si>
  <si>
    <t>nǚ’ér</t>
  </si>
  <si>
    <t>女朋友</t>
  </si>
  <si>
    <t>nǚpéngyou</t>
  </si>
  <si>
    <t>女士</t>
  </si>
  <si>
    <t>nǚshì</t>
  </si>
  <si>
    <t>朋友</t>
  </si>
  <si>
    <t>péngyou</t>
  </si>
  <si>
    <t>便宜</t>
  </si>
  <si>
    <t>piányi</t>
  </si>
  <si>
    <t>漂亮</t>
  </si>
  <si>
    <t>piàoliang</t>
  </si>
  <si>
    <t>苹果</t>
  </si>
  <si>
    <t>píngguǒ</t>
  </si>
  <si>
    <t>七</t>
  </si>
  <si>
    <t>qī</t>
  </si>
  <si>
    <t>起床</t>
  </si>
  <si>
    <t>qǐchuáng</t>
  </si>
  <si>
    <t>千</t>
  </si>
  <si>
    <t>qiān</t>
  </si>
  <si>
    <t>前</t>
  </si>
  <si>
    <t>qián</t>
  </si>
  <si>
    <t>前边</t>
  </si>
  <si>
    <t>qiánbiān</t>
  </si>
  <si>
    <t>钱</t>
  </si>
  <si>
    <t>请</t>
  </si>
  <si>
    <t>qǐng</t>
  </si>
  <si>
    <t>请问</t>
  </si>
  <si>
    <t>qǐngwèn</t>
  </si>
  <si>
    <t>cho hỏi, xin hỏi</t>
  </si>
  <si>
    <t>去</t>
  </si>
  <si>
    <t>qù</t>
  </si>
  <si>
    <t>去年</t>
  </si>
  <si>
    <t>qùnián</t>
  </si>
  <si>
    <t>热</t>
  </si>
  <si>
    <t>rè</t>
  </si>
  <si>
    <t>人</t>
  </si>
  <si>
    <t>rén</t>
  </si>
  <si>
    <t>认识</t>
  </si>
  <si>
    <t>rènshi</t>
  </si>
  <si>
    <t>日</t>
  </si>
  <si>
    <t>rì</t>
  </si>
  <si>
    <t>三</t>
  </si>
  <si>
    <t>sān</t>
  </si>
  <si>
    <t>商店</t>
  </si>
  <si>
    <t>shāngdiàn</t>
  </si>
  <si>
    <t>我明天上午在学校学习
我看了一个电影</t>
  </si>
  <si>
    <t>上</t>
  </si>
  <si>
    <t>Danh từ, Động từ</t>
  </si>
  <si>
    <t>shàng</t>
  </si>
  <si>
    <t>danh từ - vị trí cao (trên bảng xếp hạng)
động từ - lên; bắt đầu làm gì đó ở mốc thời gian cố định</t>
  </si>
  <si>
    <t>上班</t>
  </si>
  <si>
    <t>shàngbān</t>
  </si>
  <si>
    <t>上课</t>
  </si>
  <si>
    <t>shàngkè</t>
  </si>
  <si>
    <t>上午</t>
  </si>
  <si>
    <t>shàngwǔ</t>
  </si>
  <si>
    <t>上学</t>
  </si>
  <si>
    <t>shàngxué</t>
  </si>
  <si>
    <t>少</t>
  </si>
  <si>
    <t>shǎo</t>
  </si>
  <si>
    <t>谁</t>
  </si>
  <si>
    <t>shéi/shuí</t>
  </si>
  <si>
    <t>什么</t>
  </si>
  <si>
    <t>shénme</t>
  </si>
  <si>
    <t>生病</t>
  </si>
  <si>
    <t>shēngbìng</t>
  </si>
  <si>
    <t>十</t>
  </si>
  <si>
    <t>shí</t>
  </si>
  <si>
    <t>时候</t>
  </si>
  <si>
    <t>shíhou</t>
  </si>
  <si>
    <t>时间</t>
  </si>
  <si>
    <t>shíjiān</t>
  </si>
  <si>
    <t>事</t>
  </si>
  <si>
    <t>shì</t>
  </si>
  <si>
    <t>是</t>
  </si>
  <si>
    <t>手机</t>
  </si>
  <si>
    <t>shǒujī</t>
  </si>
  <si>
    <t>售货员</t>
  </si>
  <si>
    <t>shòuhuòyuán</t>
  </si>
  <si>
    <t>书</t>
  </si>
  <si>
    <t>shū</t>
  </si>
  <si>
    <t>书店</t>
  </si>
  <si>
    <t>shūdiàn</t>
  </si>
  <si>
    <t>水</t>
  </si>
  <si>
    <t>shuǐ</t>
  </si>
  <si>
    <t>水果</t>
  </si>
  <si>
    <t>shuǐguǒ</t>
  </si>
  <si>
    <t>睡</t>
  </si>
  <si>
    <t>shuì</t>
  </si>
  <si>
    <t>睡觉</t>
  </si>
  <si>
    <t>shuìjiào</t>
  </si>
  <si>
    <t>说</t>
  </si>
  <si>
    <t>shuō</t>
  </si>
  <si>
    <t>nói</t>
  </si>
  <si>
    <t>说话</t>
  </si>
  <si>
    <t>shuōhuà</t>
  </si>
  <si>
    <t>四</t>
  </si>
  <si>
    <t>sì</t>
  </si>
  <si>
    <t>岁</t>
  </si>
  <si>
    <t>suì</t>
  </si>
  <si>
    <t>他</t>
  </si>
  <si>
    <t>tā</t>
  </si>
  <si>
    <t>他们</t>
  </si>
  <si>
    <t>tāmen</t>
  </si>
  <si>
    <t>它</t>
  </si>
  <si>
    <t>它们</t>
  </si>
  <si>
    <t>她们</t>
  </si>
  <si>
    <t>太</t>
  </si>
  <si>
    <t>tài</t>
  </si>
  <si>
    <t>天</t>
  </si>
  <si>
    <t>tiān</t>
  </si>
  <si>
    <t>thời tiết, ngày</t>
  </si>
  <si>
    <t>天气</t>
  </si>
  <si>
    <t>tiānqì</t>
  </si>
  <si>
    <t>听</t>
  </si>
  <si>
    <t>tīng</t>
  </si>
  <si>
    <t>听见</t>
  </si>
  <si>
    <t>tīngjiàn</t>
  </si>
  <si>
    <t>同学</t>
  </si>
  <si>
    <t>tóngxué</t>
  </si>
  <si>
    <t>外</t>
  </si>
  <si>
    <t>wài</t>
  </si>
  <si>
    <t>外边</t>
  </si>
  <si>
    <t>wàibiān</t>
  </si>
  <si>
    <t>9. Không gian &amp; Vị trí:</t>
  </si>
  <si>
    <t>玩</t>
  </si>
  <si>
    <t>wán</t>
  </si>
  <si>
    <t>晚</t>
  </si>
  <si>
    <t>wǎn</t>
  </si>
  <si>
    <t>晚饭</t>
  </si>
  <si>
    <t>wǎnfàn</t>
  </si>
  <si>
    <t>晚上</t>
  </si>
  <si>
    <t>wǎnshang</t>
  </si>
  <si>
    <t>喂</t>
  </si>
  <si>
    <t>Thán từ</t>
  </si>
  <si>
    <t>wèi</t>
  </si>
  <si>
    <t>问</t>
  </si>
  <si>
    <t>wèn</t>
  </si>
  <si>
    <t>问题</t>
  </si>
  <si>
    <t>wèntí</t>
  </si>
  <si>
    <t>我</t>
  </si>
  <si>
    <t>wǒ</t>
  </si>
  <si>
    <t>我们</t>
  </si>
  <si>
    <t>wǒmen</t>
  </si>
  <si>
    <t>五</t>
  </si>
  <si>
    <t>wǔ</t>
  </si>
  <si>
    <t>午饭</t>
  </si>
  <si>
    <t>wǔfàn</t>
  </si>
  <si>
    <t>喜欢</t>
  </si>
  <si>
    <t>xǐhuan</t>
  </si>
  <si>
    <t>thích</t>
  </si>
  <si>
    <t>我明天上午在学校学习
昨天下雪了</t>
  </si>
  <si>
    <t>下</t>
  </si>
  <si>
    <t>xià</t>
  </si>
  <si>
    <t>danh từ - vị trí thấp (trên bảng xếp hạng)
động từ - rơi</t>
  </si>
  <si>
    <t>下班</t>
  </si>
  <si>
    <t>xiàbān</t>
  </si>
  <si>
    <t>下课</t>
  </si>
  <si>
    <t>xiàkè</t>
  </si>
  <si>
    <t>下午</t>
  </si>
  <si>
    <t>xiàwǔ</t>
  </si>
  <si>
    <t>下雨</t>
  </si>
  <si>
    <t>xiàyǔ</t>
  </si>
  <si>
    <t>mưa</t>
  </si>
  <si>
    <t>先生</t>
  </si>
  <si>
    <t>xiānsheng</t>
  </si>
  <si>
    <t>现在</t>
  </si>
  <si>
    <t>xiànzài</t>
  </si>
  <si>
    <t>我是中国人
你的手机号码是多少</t>
  </si>
  <si>
    <t>想</t>
  </si>
  <si>
    <t>xiǎng</t>
  </si>
  <si>
    <t>小</t>
  </si>
  <si>
    <t>xiǎo</t>
  </si>
  <si>
    <t>小朋友</t>
  </si>
  <si>
    <t>xiǎopéngyou</t>
  </si>
  <si>
    <t>1. Con người &amp; Các mối quan hệ:</t>
  </si>
  <si>
    <t>小时</t>
  </si>
  <si>
    <t>xiǎoshí</t>
  </si>
  <si>
    <t>小学</t>
  </si>
  <si>
    <t>xiǎoxué</t>
  </si>
  <si>
    <t>小学生</t>
  </si>
  <si>
    <t>xiǎoxuéshēng</t>
  </si>
  <si>
    <t>些</t>
  </si>
  <si>
    <t>xiē</t>
  </si>
  <si>
    <t>写</t>
  </si>
  <si>
    <t>xiě</t>
  </si>
  <si>
    <t>5. Đời sống sinh hoạt:</t>
  </si>
  <si>
    <t>谢谢</t>
  </si>
  <si>
    <t>xièxie</t>
  </si>
  <si>
    <t>新</t>
  </si>
  <si>
    <t>xīn</t>
  </si>
  <si>
    <t>星期</t>
  </si>
  <si>
    <t>xīngqī</t>
  </si>
  <si>
    <t>星期日</t>
  </si>
  <si>
    <t>xīngqīrì</t>
  </si>
  <si>
    <t>星期天</t>
  </si>
  <si>
    <t>xīngqītiān</t>
  </si>
  <si>
    <t>休息</t>
  </si>
  <si>
    <t>xiūxi</t>
  </si>
  <si>
    <t>学</t>
  </si>
  <si>
    <t>xué</t>
  </si>
  <si>
    <t>学生</t>
  </si>
  <si>
    <t>xuésheng</t>
  </si>
  <si>
    <t>学习</t>
  </si>
  <si>
    <t>xuéxí</t>
  </si>
  <si>
    <t>学校</t>
  </si>
  <si>
    <t>xuéxiào</t>
  </si>
  <si>
    <t>雪</t>
  </si>
  <si>
    <t>xuě</t>
  </si>
  <si>
    <t>药</t>
  </si>
  <si>
    <t>yào</t>
  </si>
  <si>
    <t>11,13,15</t>
  </si>
  <si>
    <t>大兴机场见！
请给我一杯茶
我读大学了</t>
  </si>
  <si>
    <t>要</t>
  </si>
  <si>
    <t>muốn; cần, lấy</t>
  </si>
  <si>
    <t>也</t>
  </si>
  <si>
    <t>yě</t>
  </si>
  <si>
    <t>一</t>
  </si>
  <si>
    <t>yī</t>
  </si>
  <si>
    <t>一半</t>
  </si>
  <si>
    <t>yíbàn</t>
  </si>
  <si>
    <t>一下</t>
  </si>
  <si>
    <t>Lượng từ, Số từ</t>
  </si>
  <si>
    <t>yíxià</t>
  </si>
  <si>
    <t>一点儿</t>
  </si>
  <si>
    <t>yìdiǎnr</t>
  </si>
  <si>
    <t>一些</t>
  </si>
  <si>
    <t>yìxiē</t>
  </si>
  <si>
    <t>衣服</t>
  </si>
  <si>
    <t>yīfu</t>
  </si>
  <si>
    <t>医</t>
  </si>
  <si>
    <t>y học</t>
  </si>
  <si>
    <t>医生</t>
  </si>
  <si>
    <t>yīshēng</t>
  </si>
  <si>
    <t>医院</t>
  </si>
  <si>
    <t>yīyuàn</t>
  </si>
  <si>
    <t>椅子</t>
  </si>
  <si>
    <t>yǐzi</t>
  </si>
  <si>
    <t>Ghế</t>
  </si>
  <si>
    <t>有</t>
  </si>
  <si>
    <t>yǒu</t>
  </si>
  <si>
    <t>有的</t>
  </si>
  <si>
    <t>yǒude</t>
  </si>
  <si>
    <t>有点儿</t>
  </si>
  <si>
    <t>yǒudiǎnr</t>
  </si>
  <si>
    <t>có chút hơi...</t>
  </si>
  <si>
    <t>有些</t>
  </si>
  <si>
    <t>yǒuxiē</t>
  </si>
  <si>
    <t>雨</t>
  </si>
  <si>
    <t>yǔ</t>
  </si>
  <si>
    <t>元</t>
  </si>
  <si>
    <t>yuán</t>
  </si>
  <si>
    <t>đơn vị tiền Nhân Dân Tệ</t>
  </si>
  <si>
    <t>月</t>
  </si>
  <si>
    <t>yuè</t>
  </si>
  <si>
    <t>请给我一杯茶
昨天下雪了</t>
  </si>
  <si>
    <t>再</t>
  </si>
  <si>
    <t>zài</t>
  </si>
  <si>
    <t>再见</t>
  </si>
  <si>
    <t>zàijiàn</t>
  </si>
  <si>
    <t>我晚上六点半下班
我明天上午在学校学习
我读大学了</t>
  </si>
  <si>
    <t>在</t>
  </si>
  <si>
    <t>Động từ, Phó từ</t>
  </si>
  <si>
    <t>hiện hữu, đang diễn ra</t>
  </si>
  <si>
    <t>早</t>
  </si>
  <si>
    <t>zǎo</t>
  </si>
  <si>
    <t>sớm</t>
  </si>
  <si>
    <t>早饭</t>
  </si>
  <si>
    <t>zǎofàn</t>
  </si>
  <si>
    <t>早上</t>
  </si>
  <si>
    <t>zǎoshang</t>
  </si>
  <si>
    <t>怎么</t>
  </si>
  <si>
    <t>zěnme</t>
  </si>
  <si>
    <t>怎么样</t>
  </si>
  <si>
    <t>zěnmeyàng</t>
  </si>
  <si>
    <t>找</t>
  </si>
  <si>
    <t>zhǎo</t>
  </si>
  <si>
    <t>中国</t>
  </si>
  <si>
    <t xml:space="preserve">Zhōngguó </t>
  </si>
  <si>
    <t>法国</t>
  </si>
  <si>
    <t>Fǎguó</t>
  </si>
  <si>
    <t>泰国</t>
  </si>
  <si>
    <t>tàiguó</t>
  </si>
  <si>
    <t>中文</t>
  </si>
  <si>
    <t xml:space="preserve">zhōngwén </t>
  </si>
  <si>
    <t>Tiếng Trung</t>
  </si>
  <si>
    <t>她</t>
  </si>
  <si>
    <t xml:space="preserve">tā </t>
  </si>
  <si>
    <t>这</t>
  </si>
  <si>
    <t>zhè</t>
  </si>
  <si>
    <t>这边</t>
  </si>
  <si>
    <t>zhèbiān</t>
  </si>
  <si>
    <t>这个</t>
  </si>
  <si>
    <t>zhège</t>
  </si>
  <si>
    <t>这里</t>
  </si>
  <si>
    <t>zhèlǐ</t>
  </si>
  <si>
    <t>这儿</t>
  </si>
  <si>
    <t>zhèr</t>
  </si>
  <si>
    <t>这些</t>
  </si>
  <si>
    <t>zhèxiē</t>
  </si>
  <si>
    <t>真</t>
  </si>
  <si>
    <t>zhēn</t>
  </si>
  <si>
    <t>thật, rất</t>
  </si>
  <si>
    <t>正在</t>
  </si>
  <si>
    <t>zhèngzài</t>
  </si>
  <si>
    <t>只</t>
  </si>
  <si>
    <t xml:space="preserve">zhī </t>
  </si>
  <si>
    <t>lượng từ dùng cho con vật</t>
  </si>
  <si>
    <t>知道</t>
  </si>
  <si>
    <t>zhīdào</t>
  </si>
  <si>
    <t>biết, nhận ra</t>
  </si>
  <si>
    <t>中午</t>
  </si>
  <si>
    <t>zhōngwǔ</t>
  </si>
  <si>
    <t>中学</t>
  </si>
  <si>
    <t>zhōngxué</t>
  </si>
  <si>
    <t>中学生</t>
  </si>
  <si>
    <t>zhōngxuéshēng</t>
  </si>
  <si>
    <t>住</t>
  </si>
  <si>
    <t>zhù</t>
  </si>
  <si>
    <t>西安</t>
  </si>
  <si>
    <t>Xī'ān</t>
  </si>
  <si>
    <t>北京</t>
  </si>
  <si>
    <t>Běijīng</t>
  </si>
  <si>
    <t>桌子</t>
  </si>
  <si>
    <t>zhuōzi</t>
  </si>
  <si>
    <t>字</t>
  </si>
  <si>
    <t>zì</t>
  </si>
  <si>
    <t>chữ cái</t>
  </si>
  <si>
    <t>汉语</t>
  </si>
  <si>
    <t>hànyǔ</t>
  </si>
  <si>
    <t>汉字</t>
  </si>
  <si>
    <t>hànzì</t>
  </si>
  <si>
    <t>Hán tự, chữ cái tiếng Trung</t>
  </si>
  <si>
    <t>昨天</t>
  </si>
  <si>
    <t>zuótiān</t>
  </si>
  <si>
    <t>hôm qua</t>
  </si>
  <si>
    <t>你的手机号码是多少
请给我一杯茶</t>
  </si>
  <si>
    <t>坐</t>
  </si>
  <si>
    <t>zuò</t>
  </si>
  <si>
    <t>Ngồi</t>
  </si>
  <si>
    <t>做</t>
  </si>
  <si>
    <t>Làm, tham gia</t>
  </si>
  <si>
    <t>做饭</t>
  </si>
  <si>
    <t>zuò fàn</t>
  </si>
  <si>
    <t>nấu cơm</t>
  </si>
  <si>
    <t>-</t>
  </si>
  <si>
    <t>啊</t>
  </si>
  <si>
    <t>a</t>
  </si>
  <si>
    <t>爱好</t>
  </si>
  <si>
    <t>àihào</t>
  </si>
  <si>
    <t>sở thích
hứng thú với</t>
  </si>
  <si>
    <t>爱情片</t>
  </si>
  <si>
    <t>àiqíngpiàn</t>
  </si>
  <si>
    <t>phim tình cảm lãng mạn</t>
  </si>
  <si>
    <t>白色</t>
  </si>
  <si>
    <t>báisè</t>
  </si>
  <si>
    <t>我们爱上中文课</t>
  </si>
  <si>
    <t>班</t>
  </si>
  <si>
    <t>bān</t>
  </si>
  <si>
    <t>帮</t>
  </si>
  <si>
    <t>bāng</t>
  </si>
  <si>
    <t>她请我们吃北京烤鸭</t>
  </si>
  <si>
    <t>帮忙</t>
  </si>
  <si>
    <t>bāngmáng</t>
  </si>
  <si>
    <t>包</t>
  </si>
  <si>
    <t>bāo</t>
  </si>
  <si>
    <t>本子</t>
  </si>
  <si>
    <t>běnzi</t>
  </si>
  <si>
    <t>比</t>
  </si>
  <si>
    <t>bǐ</t>
  </si>
  <si>
    <t>10, 13</t>
  </si>
  <si>
    <t>笔</t>
  </si>
  <si>
    <t>别</t>
  </si>
  <si>
    <t>bié</t>
  </si>
  <si>
    <t>我想去西安旅游</t>
  </si>
  <si>
    <t>不错</t>
  </si>
  <si>
    <t>búcuò</t>
  </si>
  <si>
    <t>不好意思</t>
  </si>
  <si>
    <t>bù hǎoyìsi</t>
  </si>
  <si>
    <t>Xin lỗi khi thấy ngại (làm việc gì đó)</t>
  </si>
  <si>
    <t>长</t>
  </si>
  <si>
    <t>cháng</t>
  </si>
  <si>
    <t>车站</t>
  </si>
  <si>
    <t>chēzhàn</t>
  </si>
  <si>
    <t>trạm xe</t>
  </si>
  <si>
    <t>我想去一次中国</t>
  </si>
  <si>
    <t>出国</t>
  </si>
  <si>
    <t>chūguó</t>
  </si>
  <si>
    <t>出门</t>
  </si>
  <si>
    <t>chūmén</t>
  </si>
  <si>
    <t>出去</t>
  </si>
  <si>
    <t>chūqù</t>
  </si>
  <si>
    <t>床</t>
  </si>
  <si>
    <t>chuáng</t>
  </si>
  <si>
    <t>词</t>
  </si>
  <si>
    <t>cí</t>
  </si>
  <si>
    <t>次</t>
  </si>
  <si>
    <t>cì</t>
  </si>
  <si>
    <t>lần, lượt</t>
  </si>
  <si>
    <t>从</t>
  </si>
  <si>
    <t>Giới từ</t>
  </si>
  <si>
    <t>cóng</t>
  </si>
  <si>
    <t>从小</t>
  </si>
  <si>
    <t>cóngxiǎo</t>
  </si>
  <si>
    <t>错</t>
  </si>
  <si>
    <t>cuò</t>
  </si>
  <si>
    <t>打</t>
  </si>
  <si>
    <t>dǎ</t>
  </si>
  <si>
    <t>chơi (môn thể thao), đánh</t>
  </si>
  <si>
    <t>打车</t>
  </si>
  <si>
    <t>dǎchē</t>
  </si>
  <si>
    <t>bắt xe taxi</t>
  </si>
  <si>
    <t>打开</t>
  </si>
  <si>
    <t>dǎkāi</t>
  </si>
  <si>
    <t>但</t>
  </si>
  <si>
    <t>Liên từ</t>
  </si>
  <si>
    <t>dàn</t>
  </si>
  <si>
    <t>但是</t>
  </si>
  <si>
    <t>dànshì</t>
  </si>
  <si>
    <t>蛋糕</t>
  </si>
  <si>
    <t>dàngāo</t>
  </si>
  <si>
    <t>bánh gato</t>
  </si>
  <si>
    <t>地</t>
  </si>
  <si>
    <t>Dùng trong cụm trạng ngữ</t>
  </si>
  <si>
    <t>得</t>
  </si>
  <si>
    <t>Trợ từ (dùng giữa động từ/tính từ và bổ ngữ để chỉ kết quả hoặc mức độ)</t>
  </si>
  <si>
    <t>第一次去中国朋友家</t>
  </si>
  <si>
    <t>等</t>
  </si>
  <si>
    <t>děng</t>
  </si>
  <si>
    <t>地铁</t>
  </si>
  <si>
    <t>dìtiě</t>
  </si>
  <si>
    <t>gọi (đồ ăn)</t>
  </si>
  <si>
    <t>懂</t>
  </si>
  <si>
    <t>dǒng</t>
  </si>
  <si>
    <t>我最喜欢吃中国菜</t>
  </si>
  <si>
    <t>动</t>
  </si>
  <si>
    <t>dòng</t>
  </si>
  <si>
    <t>饭馆</t>
  </si>
  <si>
    <t>fànguǎn</t>
  </si>
  <si>
    <t>房子</t>
  </si>
  <si>
    <t>fángzi</t>
  </si>
  <si>
    <t>飞</t>
  </si>
  <si>
    <t>fēi</t>
  </si>
  <si>
    <t>我去买杯奶茶</t>
  </si>
  <si>
    <t>高</t>
  </si>
  <si>
    <t>gāo</t>
  </si>
  <si>
    <t>高中</t>
  </si>
  <si>
    <t>gāozhōng</t>
  </si>
  <si>
    <t>trường trung học phổ thông</t>
  </si>
  <si>
    <t>告诉</t>
  </si>
  <si>
    <t>gàosu</t>
  </si>
  <si>
    <t>个子</t>
  </si>
  <si>
    <t>gèzi</t>
  </si>
  <si>
    <t>cho, đưa cho</t>
  </si>
  <si>
    <t>跟</t>
  </si>
  <si>
    <t>gēn</t>
  </si>
  <si>
    <t>cùng với
và</t>
  </si>
  <si>
    <t>更</t>
  </si>
  <si>
    <t>gèng</t>
  </si>
  <si>
    <t>公交车</t>
  </si>
  <si>
    <t>gōngjiāochē</t>
  </si>
  <si>
    <t>过</t>
  </si>
  <si>
    <t>guò</t>
  </si>
  <si>
    <t>过来</t>
  </si>
  <si>
    <t>guòlái</t>
  </si>
  <si>
    <t>过年</t>
  </si>
  <si>
    <t>guònián</t>
  </si>
  <si>
    <t>đón năm mới</t>
  </si>
  <si>
    <t>过去</t>
  </si>
  <si>
    <t>guòqù</t>
  </si>
  <si>
    <t>qua đó</t>
  </si>
  <si>
    <t>guo</t>
  </si>
  <si>
    <t>2, 10</t>
  </si>
  <si>
    <t>还是</t>
  </si>
  <si>
    <t>háishi</t>
  </si>
  <si>
    <t>hay/ hoặc</t>
  </si>
  <si>
    <t>rất, khá</t>
  </si>
  <si>
    <t>好像</t>
  </si>
  <si>
    <t>hǎoxiàng</t>
  </si>
  <si>
    <t>黑色</t>
  </si>
  <si>
    <t>hēisè</t>
  </si>
  <si>
    <t>红色</t>
  </si>
  <si>
    <t>hóngsè</t>
  </si>
  <si>
    <t>后面</t>
  </si>
  <si>
    <t>hòumiàn</t>
  </si>
  <si>
    <t>phía sau</t>
  </si>
  <si>
    <t>花</t>
  </si>
  <si>
    <t>huā</t>
  </si>
  <si>
    <t>hoa</t>
  </si>
  <si>
    <t>画</t>
  </si>
  <si>
    <t>Động từ, Danh từ</t>
  </si>
  <si>
    <t>huà</t>
  </si>
  <si>
    <t>bức vẽ, vẽ (động từ)</t>
  </si>
  <si>
    <t>画笔</t>
  </si>
  <si>
    <t>huàbǐ</t>
  </si>
  <si>
    <t>bút màu, cọ vẽ</t>
  </si>
  <si>
    <t>坏</t>
  </si>
  <si>
    <t>huài</t>
  </si>
  <si>
    <t>回来</t>
  </si>
  <si>
    <t>huílái</t>
  </si>
  <si>
    <t>回去</t>
  </si>
  <si>
    <t>huíqù</t>
  </si>
  <si>
    <t>机票</t>
  </si>
  <si>
    <t>jīpiào</t>
  </si>
  <si>
    <t>记得</t>
  </si>
  <si>
    <t>jìde</t>
  </si>
  <si>
    <t>间</t>
  </si>
  <si>
    <t>jiān</t>
  </si>
  <si>
    <t>lượng từ dùng cho căn phòng</t>
  </si>
  <si>
    <t>教</t>
  </si>
  <si>
    <t>jiāo</t>
  </si>
  <si>
    <t>dạy</t>
  </si>
  <si>
    <t>教室</t>
  </si>
  <si>
    <t>jiàoshì</t>
  </si>
  <si>
    <t>* 接</t>
  </si>
  <si>
    <t>đón, nhận</t>
  </si>
  <si>
    <t>介绍</t>
  </si>
  <si>
    <t>jièshào</t>
  </si>
  <si>
    <t>进</t>
  </si>
  <si>
    <t>jìn</t>
  </si>
  <si>
    <t>进来</t>
  </si>
  <si>
    <t>jìnlái</t>
  </si>
  <si>
    <t>vào trong</t>
  </si>
  <si>
    <t>进去</t>
  </si>
  <si>
    <t>jìnqù</t>
  </si>
  <si>
    <t>近</t>
  </si>
  <si>
    <t>gần</t>
  </si>
  <si>
    <t>经常</t>
  </si>
  <si>
    <t>jīngcháng</t>
  </si>
  <si>
    <t>酒店</t>
  </si>
  <si>
    <t>jiǔdiàn</t>
  </si>
  <si>
    <t>就</t>
  </si>
  <si>
    <t>jiù</t>
  </si>
  <si>
    <t>咖啡</t>
  </si>
  <si>
    <t>kāfēi</t>
  </si>
  <si>
    <t>开始</t>
  </si>
  <si>
    <t>kāishǐ</t>
  </si>
  <si>
    <t>bắt đầu
sự bắt đầu</t>
  </si>
  <si>
    <t>开学</t>
  </si>
  <si>
    <t>kāixué</t>
  </si>
  <si>
    <t>khai giảng</t>
  </si>
  <si>
    <t>考</t>
  </si>
  <si>
    <t>kǎo</t>
  </si>
  <si>
    <t>考试</t>
  </si>
  <si>
    <t>kǎoshì</t>
  </si>
  <si>
    <t>Làm bài kiểm tra
kiểm tra</t>
  </si>
  <si>
    <t>可能</t>
  </si>
  <si>
    <t>kěnéng</t>
  </si>
  <si>
    <t>có lẽ, có thể</t>
  </si>
  <si>
    <t>裤子</t>
  </si>
  <si>
    <t>kùzi</t>
  </si>
  <si>
    <t>快</t>
  </si>
  <si>
    <t>快乐</t>
  </si>
  <si>
    <t>kuàilè</t>
  </si>
  <si>
    <t>快要</t>
  </si>
  <si>
    <t>kuàiyào</t>
  </si>
  <si>
    <t>sắp</t>
  </si>
  <si>
    <t>篮球</t>
  </si>
  <si>
    <t>lánqiú</t>
  </si>
  <si>
    <t>累</t>
  </si>
  <si>
    <t>lèi</t>
  </si>
  <si>
    <t>离</t>
  </si>
  <si>
    <t>lí</t>
  </si>
  <si>
    <t>礼物</t>
  </si>
  <si>
    <t>lǐwù</t>
  </si>
  <si>
    <t>里面</t>
  </si>
  <si>
    <t>lǐmiàn</t>
  </si>
  <si>
    <t>trong</t>
  </si>
  <si>
    <t>楼</t>
  </si>
  <si>
    <t>lóu</t>
  </si>
  <si>
    <t>tòa nhà</t>
  </si>
  <si>
    <t>路</t>
  </si>
  <si>
    <t>lù</t>
  </si>
  <si>
    <t>路上</t>
  </si>
  <si>
    <t>lùshang</t>
  </si>
  <si>
    <t>旅游</t>
  </si>
  <si>
    <t>lǚyóu</t>
  </si>
  <si>
    <t>绿色</t>
  </si>
  <si>
    <t>lǜsè</t>
  </si>
  <si>
    <t>慢</t>
  </si>
  <si>
    <t>màn</t>
  </si>
  <si>
    <t>没意思</t>
  </si>
  <si>
    <t>méi yìsi</t>
  </si>
  <si>
    <t>nhàm chán</t>
  </si>
  <si>
    <t>每</t>
  </si>
  <si>
    <t>měi</t>
  </si>
  <si>
    <t>Mỗi</t>
  </si>
  <si>
    <t>门</t>
  </si>
  <si>
    <t>mén</t>
  </si>
  <si>
    <t>门口</t>
  </si>
  <si>
    <t>ménkǒu</t>
  </si>
  <si>
    <t>门票</t>
  </si>
  <si>
    <t>ménpiào</t>
  </si>
  <si>
    <t>面</t>
  </si>
  <si>
    <t>miàn</t>
  </si>
  <si>
    <t>名</t>
  </si>
  <si>
    <t>míng</t>
  </si>
  <si>
    <t>lượng từ dùng cho người
tên</t>
  </si>
  <si>
    <t>拿</t>
  </si>
  <si>
    <t>ná</t>
  </si>
  <si>
    <t>Vậy, vậy thì</t>
  </si>
  <si>
    <t>那么</t>
  </si>
  <si>
    <t>nàme</t>
  </si>
  <si>
    <t>那样</t>
  </si>
  <si>
    <t>nàyàng</t>
  </si>
  <si>
    <t>奶茶</t>
  </si>
  <si>
    <t>nǎichá</t>
  </si>
  <si>
    <t>奶奶</t>
  </si>
  <si>
    <t>nǎinai</t>
  </si>
  <si>
    <t>bà nội</t>
  </si>
  <si>
    <t>男孩儿</t>
  </si>
  <si>
    <t>nánháir</t>
  </si>
  <si>
    <t>鸟</t>
  </si>
  <si>
    <t>niǎo</t>
  </si>
  <si>
    <t>女孩儿</t>
  </si>
  <si>
    <t>nǚháir</t>
  </si>
  <si>
    <t>旁边</t>
  </si>
  <si>
    <t>pángbiān</t>
  </si>
  <si>
    <t>跑</t>
  </si>
  <si>
    <t>pǎo</t>
  </si>
  <si>
    <t>跑步</t>
  </si>
  <si>
    <t>pǎobù</t>
  </si>
  <si>
    <t>票</t>
  </si>
  <si>
    <t>piào</t>
  </si>
  <si>
    <t>妻子</t>
  </si>
  <si>
    <t>qīzi</t>
  </si>
  <si>
    <t>前面</t>
  </si>
  <si>
    <t>qiánmiàn</t>
  </si>
  <si>
    <t>晴</t>
  </si>
  <si>
    <t>qíng</t>
  </si>
  <si>
    <t>trời nắng</t>
  </si>
  <si>
    <t>球</t>
  </si>
  <si>
    <t>qiú</t>
  </si>
  <si>
    <t>让</t>
  </si>
  <si>
    <t>ràng</t>
  </si>
  <si>
    <t>肉</t>
  </si>
  <si>
    <t>ròu</t>
  </si>
  <si>
    <t>商场</t>
  </si>
  <si>
    <t>shāngchǎng</t>
  </si>
  <si>
    <t>上来</t>
  </si>
  <si>
    <t>shànglái</t>
  </si>
  <si>
    <t>上面</t>
  </si>
  <si>
    <t>shàngmiàn</t>
  </si>
  <si>
    <t>上去</t>
  </si>
  <si>
    <t>shàngqù</t>
  </si>
  <si>
    <t>上网</t>
  </si>
  <si>
    <t>shàngwǎng</t>
  </si>
  <si>
    <t>lên mạng</t>
  </si>
  <si>
    <t>身体</t>
  </si>
  <si>
    <t>shēntǐ</t>
  </si>
  <si>
    <t>thân thể, sức khỏe</t>
  </si>
  <si>
    <t>生日</t>
  </si>
  <si>
    <t>shēngrì</t>
  </si>
  <si>
    <t>时</t>
  </si>
  <si>
    <t>事情</t>
  </si>
  <si>
    <t>shìqing</t>
  </si>
  <si>
    <t>试</t>
  </si>
  <si>
    <t>手</t>
  </si>
  <si>
    <t>shǒu</t>
  </si>
  <si>
    <t>手表</t>
  </si>
  <si>
    <t>shǒubiǎo</t>
  </si>
  <si>
    <t>đồng hồ đeo tay</t>
  </si>
  <si>
    <t>书包</t>
  </si>
  <si>
    <t>shūbāo</t>
  </si>
  <si>
    <t>cái túi, cặp sách</t>
  </si>
  <si>
    <t>舒服</t>
  </si>
  <si>
    <t>shūfu</t>
  </si>
  <si>
    <t>送</t>
  </si>
  <si>
    <t>sòng</t>
  </si>
  <si>
    <t>虽然</t>
  </si>
  <si>
    <t>suīrán</t>
  </si>
  <si>
    <t>所以</t>
  </si>
  <si>
    <t>suǒyǐ</t>
  </si>
  <si>
    <t>疼</t>
  </si>
  <si>
    <t>téng</t>
  </si>
  <si>
    <t>đau</t>
  </si>
  <si>
    <t>踢</t>
  </si>
  <si>
    <t>tī</t>
  </si>
  <si>
    <t>题</t>
  </si>
  <si>
    <t>tí</t>
  </si>
  <si>
    <t>条</t>
  </si>
  <si>
    <t>tiáo</t>
  </si>
  <si>
    <t>lượng từ cho những vật dài, hẹp hoặc những thứ sợi</t>
  </si>
  <si>
    <t>跳舞</t>
  </si>
  <si>
    <t>tiàowǔ</t>
  </si>
  <si>
    <t>头</t>
  </si>
  <si>
    <t>tóu</t>
  </si>
  <si>
    <t>外国</t>
  </si>
  <si>
    <t>wàiguó</t>
  </si>
  <si>
    <t>外面</t>
  </si>
  <si>
    <t>wàimiàn</t>
  </si>
  <si>
    <t>完</t>
  </si>
  <si>
    <t>hoàn thành, xong</t>
  </si>
  <si>
    <t>万</t>
  </si>
  <si>
    <t>wàn</t>
  </si>
  <si>
    <t>vạn, mười nghìn</t>
  </si>
  <si>
    <t>网上</t>
  </si>
  <si>
    <t>wǎngshang</t>
  </si>
  <si>
    <t>往</t>
  </si>
  <si>
    <t>Động từ, Giới từ</t>
  </si>
  <si>
    <t>wǎng</t>
  </si>
  <si>
    <t xml:space="preserve">hướng về
đi về
</t>
  </si>
  <si>
    <t>忘</t>
  </si>
  <si>
    <t>wàng</t>
  </si>
  <si>
    <t>为什么</t>
  </si>
  <si>
    <t>wèi shénme</t>
  </si>
  <si>
    <t>位</t>
  </si>
  <si>
    <t>Lượng từ dành cho người</t>
  </si>
  <si>
    <t>希望</t>
  </si>
  <si>
    <t>xīwàng</t>
  </si>
  <si>
    <t>洗</t>
  </si>
  <si>
    <t>xǐ</t>
  </si>
  <si>
    <t>洗手间</t>
  </si>
  <si>
    <t>xǐshǒujiān</t>
  </si>
  <si>
    <t>下来</t>
  </si>
  <si>
    <t>xiàlái</t>
  </si>
  <si>
    <t>xuống đây</t>
  </si>
  <si>
    <t>下面</t>
  </si>
  <si>
    <t>xiàmiàn</t>
  </si>
  <si>
    <t>下去</t>
  </si>
  <si>
    <t>xiàqù</t>
  </si>
  <si>
    <t>小孩儿</t>
  </si>
  <si>
    <t>xiǎoháir</t>
  </si>
  <si>
    <t>小时候</t>
  </si>
  <si>
    <t>xiǎoshíhou</t>
  </si>
  <si>
    <t>khi bé</t>
  </si>
  <si>
    <t>笑</t>
  </si>
  <si>
    <t>xiào</t>
  </si>
  <si>
    <t>新年</t>
  </si>
  <si>
    <t>xīnnián</t>
  </si>
  <si>
    <t>姓</t>
  </si>
  <si>
    <t>xìng</t>
  </si>
  <si>
    <t>姓名</t>
  </si>
  <si>
    <t>xìngmíng</t>
  </si>
  <si>
    <t>颜色</t>
  </si>
  <si>
    <t>yánsè</t>
  </si>
  <si>
    <t>眼睛</t>
  </si>
  <si>
    <t>yǎnjing</t>
  </si>
  <si>
    <t>药店</t>
  </si>
  <si>
    <t>yàodiàn</t>
  </si>
  <si>
    <t>爷爷</t>
  </si>
  <si>
    <t>yéye</t>
  </si>
  <si>
    <t>一会儿</t>
  </si>
  <si>
    <t>yíhuìr</t>
  </si>
  <si>
    <t>一起</t>
  </si>
  <si>
    <t>yìqǐ</t>
  </si>
  <si>
    <t>已经</t>
  </si>
  <si>
    <t>yǐjīng</t>
  </si>
  <si>
    <t>意思</t>
  </si>
  <si>
    <t>yìsi</t>
  </si>
  <si>
    <t>ý kiến, nghĩa</t>
  </si>
  <si>
    <t>因为</t>
  </si>
  <si>
    <t>yīnwèi</t>
  </si>
  <si>
    <t>阴</t>
  </si>
  <si>
    <t>yīn</t>
  </si>
  <si>
    <t>nhiều mây</t>
  </si>
  <si>
    <t>游</t>
  </si>
  <si>
    <t>yóu</t>
  </si>
  <si>
    <t>bơi</t>
  </si>
  <si>
    <t>游泳</t>
  </si>
  <si>
    <t>yóuyǒng</t>
  </si>
  <si>
    <t>有时</t>
  </si>
  <si>
    <t>yǒushí</t>
  </si>
  <si>
    <t>有意思</t>
  </si>
  <si>
    <t>yǒu yìsi</t>
  </si>
  <si>
    <t>hay, hấp dẫn, thú vị</t>
  </si>
  <si>
    <t>右</t>
  </si>
  <si>
    <t>yòu</t>
  </si>
  <si>
    <t>右边</t>
  </si>
  <si>
    <t>yòubian</t>
  </si>
  <si>
    <t>bên phải</t>
  </si>
  <si>
    <t>鱼</t>
  </si>
  <si>
    <t>yú</t>
  </si>
  <si>
    <t>远</t>
  </si>
  <si>
    <t>yuǎn</t>
  </si>
  <si>
    <t>运动</t>
  </si>
  <si>
    <t>yùndòng</t>
  </si>
  <si>
    <t>thể thao 
vận động</t>
  </si>
  <si>
    <t>站</t>
  </si>
  <si>
    <t>zhàn</t>
  </si>
  <si>
    <t>đứng</t>
  </si>
  <si>
    <t>丈夫</t>
  </si>
  <si>
    <t>zhàngfu</t>
  </si>
  <si>
    <t>这么</t>
  </si>
  <si>
    <t>zhème</t>
  </si>
  <si>
    <t>Như thế</t>
  </si>
  <si>
    <t>这样</t>
  </si>
  <si>
    <t>zhèyàng</t>
  </si>
  <si>
    <t>着</t>
  </si>
  <si>
    <t>zhe</t>
  </si>
  <si>
    <t>dùng giữa động từ và tính từ để diễn tả hành động đang xảy ra</t>
  </si>
  <si>
    <t>正</t>
  </si>
  <si>
    <t>zhèng</t>
  </si>
  <si>
    <t>hành động đang xảy ra hoặc chỉ trạng thái tiếp diễn</t>
  </si>
  <si>
    <t>周</t>
  </si>
  <si>
    <t>zhōu</t>
  </si>
  <si>
    <t>准备</t>
  </si>
  <si>
    <t>zhǔnbèi</t>
  </si>
  <si>
    <t>自己</t>
  </si>
  <si>
    <t>zìjǐ</t>
  </si>
  <si>
    <t>走</t>
  </si>
  <si>
    <t>zǒu</t>
  </si>
  <si>
    <t>đi bộ, đi</t>
  </si>
  <si>
    <t>走路</t>
  </si>
  <si>
    <t>zǒulù</t>
  </si>
  <si>
    <t>足球</t>
  </si>
  <si>
    <t>zúqiú</t>
  </si>
  <si>
    <t>最</t>
  </si>
  <si>
    <t>zuì</t>
  </si>
  <si>
    <t>左</t>
  </si>
  <si>
    <t>zuǒ</t>
  </si>
  <si>
    <t>8-</t>
  </si>
  <si>
    <t>zuǒbian</t>
  </si>
  <si>
    <t>这里比北京冷多了</t>
  </si>
  <si>
    <t>trạm (xe, tàu)</t>
  </si>
  <si>
    <t>tiêu, tốn</t>
  </si>
  <si>
    <t>爱情</t>
  </si>
  <si>
    <t>安静</t>
  </si>
  <si>
    <t>办</t>
  </si>
  <si>
    <t>làm</t>
  </si>
  <si>
    <t>办法</t>
  </si>
  <si>
    <t>办公室</t>
  </si>
  <si>
    <t>帮助</t>
  </si>
  <si>
    <t>饱</t>
  </si>
  <si>
    <t>报名</t>
  </si>
  <si>
    <t>报纸</t>
  </si>
  <si>
    <t>北方</t>
  </si>
  <si>
    <t>比如</t>
  </si>
  <si>
    <t>笔记</t>
  </si>
  <si>
    <t>笔记本</t>
  </si>
  <si>
    <t>必须</t>
  </si>
  <si>
    <t>变成</t>
  </si>
  <si>
    <t>表</t>
  </si>
  <si>
    <t>表示</t>
  </si>
  <si>
    <t>不但</t>
  </si>
  <si>
    <t>不够</t>
  </si>
  <si>
    <t>不过</t>
  </si>
  <si>
    <t>不久</t>
  </si>
  <si>
    <t>不满</t>
  </si>
  <si>
    <t>不如</t>
  </si>
  <si>
    <t>不同</t>
  </si>
  <si>
    <t>部分</t>
  </si>
  <si>
    <t>菜单</t>
  </si>
  <si>
    <t>参观</t>
  </si>
  <si>
    <t>参加</t>
  </si>
  <si>
    <t>草地</t>
  </si>
  <si>
    <t>层</t>
  </si>
  <si>
    <t>tầng, lớp</t>
  </si>
  <si>
    <t>查</t>
  </si>
  <si>
    <t>差不多</t>
  </si>
  <si>
    <t>常见</t>
  </si>
  <si>
    <t>常用</t>
  </si>
  <si>
    <t>场</t>
  </si>
  <si>
    <t>超过</t>
  </si>
  <si>
    <t>成绩</t>
  </si>
  <si>
    <t>成为</t>
  </si>
  <si>
    <t>重新</t>
  </si>
  <si>
    <t>出发</t>
  </si>
  <si>
    <t>出生</t>
  </si>
  <si>
    <t>出现</t>
  </si>
  <si>
    <t>出院</t>
  </si>
  <si>
    <t>出租</t>
  </si>
  <si>
    <t>船</t>
  </si>
  <si>
    <t>吹</t>
  </si>
  <si>
    <t>春天</t>
  </si>
  <si>
    <t>词典</t>
  </si>
  <si>
    <t>词语</t>
  </si>
  <si>
    <t>答应</t>
  </si>
  <si>
    <t>打工</t>
  </si>
  <si>
    <t>打算</t>
  </si>
  <si>
    <t>打印</t>
  </si>
  <si>
    <t>大大</t>
  </si>
  <si>
    <t>大量</t>
  </si>
  <si>
    <t>大人</t>
  </si>
  <si>
    <t>大小</t>
  </si>
  <si>
    <t>大衣</t>
  </si>
  <si>
    <t>大自然</t>
  </si>
  <si>
    <t>带</t>
  </si>
  <si>
    <t>单位</t>
  </si>
  <si>
    <t>当</t>
  </si>
  <si>
    <t>当时</t>
  </si>
  <si>
    <t>倒</t>
  </si>
  <si>
    <t>到处</t>
  </si>
  <si>
    <t>道</t>
  </si>
  <si>
    <t>道路</t>
  </si>
  <si>
    <t>的话</t>
  </si>
  <si>
    <t>灯</t>
  </si>
  <si>
    <t>等到</t>
  </si>
  <si>
    <t>低</t>
  </si>
  <si>
    <t>地球</t>
  </si>
  <si>
    <t>点头</t>
  </si>
  <si>
    <t>掉</t>
  </si>
  <si>
    <t>东方</t>
  </si>
  <si>
    <t>冬天</t>
  </si>
  <si>
    <t>懂得</t>
  </si>
  <si>
    <t>动物</t>
  </si>
  <si>
    <t>动物园</t>
  </si>
  <si>
    <t>短</t>
  </si>
  <si>
    <t>短信</t>
  </si>
  <si>
    <t>段</t>
  </si>
  <si>
    <t>队</t>
  </si>
  <si>
    <t>队长</t>
  </si>
  <si>
    <t>对话</t>
  </si>
  <si>
    <t>对面</t>
  </si>
  <si>
    <t>多么</t>
  </si>
  <si>
    <t>多数</t>
  </si>
  <si>
    <t>而且</t>
  </si>
  <si>
    <t>发</t>
  </si>
  <si>
    <t>发现</t>
  </si>
  <si>
    <t>方便</t>
  </si>
  <si>
    <t>方便面</t>
  </si>
  <si>
    <t>方法</t>
  </si>
  <si>
    <t>方面</t>
  </si>
  <si>
    <t>方向</t>
  </si>
  <si>
    <t>放心</t>
  </si>
  <si>
    <t>分开</t>
  </si>
  <si>
    <t>分数</t>
  </si>
  <si>
    <t>份</t>
  </si>
  <si>
    <t>服务</t>
  </si>
  <si>
    <t>复习</t>
  </si>
  <si>
    <t>改</t>
  </si>
  <si>
    <t>改变</t>
  </si>
  <si>
    <t>干杯</t>
  </si>
  <si>
    <t>感到</t>
  </si>
  <si>
    <t>感动</t>
  </si>
  <si>
    <t>感觉</t>
  </si>
  <si>
    <t>感谢</t>
  </si>
  <si>
    <t>干活儿</t>
  </si>
  <si>
    <t>刚</t>
  </si>
  <si>
    <t>刚才</t>
  </si>
  <si>
    <t>刚刚</t>
  </si>
  <si>
    <t>公斤</t>
  </si>
  <si>
    <t>公里</t>
  </si>
  <si>
    <t>公路</t>
  </si>
  <si>
    <t>公园</t>
  </si>
  <si>
    <t>够</t>
  </si>
  <si>
    <t>故事</t>
  </si>
  <si>
    <t>故意</t>
  </si>
  <si>
    <t>顾客</t>
  </si>
  <si>
    <t>关机</t>
  </si>
  <si>
    <t>关心</t>
  </si>
  <si>
    <t>广告</t>
  </si>
  <si>
    <t>国际</t>
  </si>
  <si>
    <t>海</t>
  </si>
  <si>
    <t>喊</t>
  </si>
  <si>
    <t>好处</t>
  </si>
  <si>
    <t>好多</t>
  </si>
  <si>
    <t>好久</t>
  </si>
  <si>
    <t>合适</t>
  </si>
  <si>
    <t>河</t>
  </si>
  <si>
    <t>黑板</t>
  </si>
  <si>
    <t>后来</t>
  </si>
  <si>
    <t>护照</t>
  </si>
  <si>
    <t>花园</t>
  </si>
  <si>
    <t>画家</t>
  </si>
  <si>
    <t>坏处</t>
  </si>
  <si>
    <t>欢迎</t>
  </si>
  <si>
    <t>换</t>
  </si>
  <si>
    <t>黄色</t>
  </si>
  <si>
    <t>活动</t>
  </si>
  <si>
    <t>或</t>
  </si>
  <si>
    <t>或者</t>
  </si>
  <si>
    <t>机会</t>
  </si>
  <si>
    <t>鸡</t>
  </si>
  <si>
    <t>急</t>
  </si>
  <si>
    <t>加</t>
  </si>
  <si>
    <t>假</t>
  </si>
  <si>
    <t>假期</t>
  </si>
  <si>
    <t>检查</t>
  </si>
  <si>
    <t>健康</t>
  </si>
  <si>
    <t>讲</t>
  </si>
  <si>
    <t>交</t>
  </si>
  <si>
    <t>角</t>
  </si>
  <si>
    <t>脚</t>
  </si>
  <si>
    <t>街</t>
  </si>
  <si>
    <t>节目</t>
  </si>
  <si>
    <t>节日</t>
  </si>
  <si>
    <t>借</t>
  </si>
  <si>
    <t>经过</t>
  </si>
  <si>
    <t>经理</t>
  </si>
  <si>
    <t>酒</t>
  </si>
  <si>
    <t>句</t>
  </si>
  <si>
    <t>句子</t>
  </si>
  <si>
    <t>卡</t>
  </si>
  <si>
    <t>开机</t>
  </si>
  <si>
    <t>开心</t>
  </si>
  <si>
    <t>可爱</t>
  </si>
  <si>
    <t>可是</t>
  </si>
  <si>
    <t>客人</t>
  </si>
  <si>
    <t>哭</t>
  </si>
  <si>
    <t>筷子</t>
  </si>
  <si>
    <t>来自</t>
  </si>
  <si>
    <t>蓝</t>
  </si>
  <si>
    <t>离开</t>
  </si>
  <si>
    <t>脸</t>
  </si>
  <si>
    <t>练</t>
  </si>
  <si>
    <t>练习</t>
  </si>
  <si>
    <t>凉快</t>
  </si>
  <si>
    <t>辆</t>
  </si>
  <si>
    <t>留学生</t>
  </si>
  <si>
    <t>满意</t>
  </si>
  <si>
    <t>面前</t>
  </si>
  <si>
    <t>南方</t>
  </si>
  <si>
    <t>难过</t>
  </si>
  <si>
    <t>难看</t>
  </si>
  <si>
    <t>难题</t>
  </si>
  <si>
    <t>年级</t>
  </si>
  <si>
    <t>年轻</t>
  </si>
  <si>
    <t>努力</t>
  </si>
  <si>
    <t>爬</t>
  </si>
  <si>
    <t>平时</t>
  </si>
  <si>
    <t>其他</t>
  </si>
  <si>
    <t>骑</t>
  </si>
  <si>
    <t>起飞</t>
  </si>
  <si>
    <t>清楚</t>
  </si>
  <si>
    <t>请客</t>
  </si>
  <si>
    <t>秋天</t>
  </si>
  <si>
    <t>球场</t>
  </si>
  <si>
    <t>全</t>
  </si>
  <si>
    <t>然后</t>
  </si>
  <si>
    <t>热情</t>
  </si>
  <si>
    <t>认为</t>
  </si>
  <si>
    <t>如果</t>
  </si>
  <si>
    <t>身边</t>
  </si>
  <si>
    <t>生活</t>
  </si>
  <si>
    <t>声音</t>
  </si>
  <si>
    <t>收</t>
  </si>
  <si>
    <t>收到</t>
  </si>
  <si>
    <t>受到</t>
  </si>
  <si>
    <t>水平</t>
  </si>
  <si>
    <t>司机</t>
  </si>
  <si>
    <t>我学会了包饺子</t>
  </si>
  <si>
    <t>阿姨</t>
  </si>
  <si>
    <t>ā' yí</t>
  </si>
  <si>
    <t>Dì</t>
  </si>
  <si>
    <t>那条裙子比短裤更好看</t>
  </si>
  <si>
    <t>矮</t>
  </si>
  <si>
    <t xml:space="preserve"> ǎi</t>
  </si>
  <si>
    <t>lùn, thấp</t>
  </si>
  <si>
    <t>高铁上还可以点外卖</t>
  </si>
  <si>
    <t>ānjìng</t>
  </si>
  <si>
    <t>yên tĩnh</t>
  </si>
  <si>
    <t>这个季节天气变化很快</t>
  </si>
  <si>
    <t>把</t>
  </si>
  <si>
    <t>bǎ</t>
  </si>
  <si>
    <t>Dùng để đưa tân ngữ của động từ lên vị trí trước động từ đó.</t>
  </si>
  <si>
    <t>看来我还没办法解决这个问题</t>
  </si>
  <si>
    <t>Dùng cho những vật có tay cầm, hoặc những thứ có tư thế hai chân dang ra, v.v.</t>
  </si>
  <si>
    <t>你明天再把书环给我</t>
  </si>
  <si>
    <t>我们去机场接你们</t>
  </si>
  <si>
    <t>搬</t>
  </si>
  <si>
    <t>这本书被别人借走了</t>
  </si>
  <si>
    <t>bànfǎ</t>
  </si>
  <si>
    <t>这个小区挺好的</t>
  </si>
  <si>
    <t>bàngōngshì</t>
  </si>
  <si>
    <t>我听说有的熊猫出国了</t>
  </si>
  <si>
    <t>bāngzhù</t>
  </si>
  <si>
    <t>班级</t>
  </si>
  <si>
    <t>bānjí</t>
  </si>
  <si>
    <t>搬家</t>
  </si>
  <si>
    <t>bānjiā</t>
  </si>
  <si>
    <t>半天</t>
  </si>
  <si>
    <t>bàntiān</t>
  </si>
  <si>
    <t>bǎo</t>
  </si>
  <si>
    <t>我的邻居来自英国</t>
  </si>
  <si>
    <t>bàozhǐ</t>
  </si>
  <si>
    <t>被</t>
  </si>
  <si>
    <t>bèi</t>
  </si>
  <si>
    <t>bị, được</t>
  </si>
  <si>
    <t>北</t>
  </si>
  <si>
    <t>běi</t>
  </si>
  <si>
    <t>běifāng</t>
  </si>
  <si>
    <t>biàn</t>
  </si>
  <si>
    <t>变化</t>
  </si>
  <si>
    <t>biànhuà</t>
  </si>
  <si>
    <t>表演</t>
  </si>
  <si>
    <t>biǎoyǎn</t>
  </si>
  <si>
    <t>biểu diễn</t>
  </si>
  <si>
    <t>看来我没办法解决这个问题</t>
  </si>
  <si>
    <t>别人</t>
  </si>
  <si>
    <t>biérén</t>
  </si>
  <si>
    <t>你明天再把书还给我</t>
  </si>
  <si>
    <t>bǐjì</t>
  </si>
  <si>
    <t>这样的照片才好看</t>
  </si>
  <si>
    <t>比较</t>
  </si>
  <si>
    <t>Động từ, Giới từ, Phó từ</t>
  </si>
  <si>
    <t>bǐjiào</t>
  </si>
  <si>
    <t>bǐjìběn</t>
  </si>
  <si>
    <t>冰</t>
  </si>
  <si>
    <t>bīng</t>
  </si>
  <si>
    <t>今天我出院了</t>
  </si>
  <si>
    <t>这家宾馆跟别的都不一样</t>
  </si>
  <si>
    <t>宾馆</t>
  </si>
  <si>
    <t>bīnguǎn</t>
  </si>
  <si>
    <t>冰箱</t>
  </si>
  <si>
    <t>bīngxiāng</t>
  </si>
  <si>
    <t>我要多向认真的人学习</t>
  </si>
  <si>
    <t>bǐrú</t>
  </si>
  <si>
    <t>打不好没有关系</t>
  </si>
  <si>
    <t>比赛</t>
  </si>
  <si>
    <t>bǐsài</t>
  </si>
  <si>
    <t>bìxū</t>
  </si>
  <si>
    <t>bùtóng</t>
  </si>
  <si>
    <t>bùdàn</t>
  </si>
  <si>
    <t>bùjiǔ</t>
  </si>
  <si>
    <t>才</t>
  </si>
  <si>
    <t>mới, vừa mới</t>
  </si>
  <si>
    <t>你们想吃什么就点什么</t>
  </si>
  <si>
    <t>càidān</t>
  </si>
  <si>
    <t>thực đơn</t>
  </si>
  <si>
    <t>cānjiā</t>
  </si>
  <si>
    <t>tham gia</t>
  </si>
  <si>
    <t>我是半个南京人</t>
  </si>
  <si>
    <t>cǎodì</t>
  </si>
  <si>
    <t>bãi cỏ</t>
  </si>
  <si>
    <t>草原</t>
  </si>
  <si>
    <t>cǎoyuán</t>
  </si>
  <si>
    <t>đồng cỏ, thảo nguyên</t>
  </si>
  <si>
    <t>céng</t>
  </si>
  <si>
    <t>kiểm tra, tra cứu</t>
  </si>
  <si>
    <t>差</t>
  </si>
  <si>
    <t>Tính từ, Động từ</t>
  </si>
  <si>
    <t>chà</t>
  </si>
  <si>
    <t>kém, sai lệch</t>
  </si>
  <si>
    <t>Tính từ, Phó từ</t>
  </si>
  <si>
    <t>chàbuduō</t>
  </si>
  <si>
    <t>gần như, xấp xỉ</t>
  </si>
  <si>
    <t>尝</t>
  </si>
  <si>
    <t>nếm</t>
  </si>
  <si>
    <t>常</t>
  </si>
  <si>
    <t>thường</t>
  </si>
  <si>
    <t>常常</t>
  </si>
  <si>
    <t>chángcháng</t>
  </si>
  <si>
    <t>thường thường</t>
  </si>
  <si>
    <t>cháng jiàn</t>
  </si>
  <si>
    <t>thường thấy, phổ biến</t>
  </si>
  <si>
    <t>cháng yòng</t>
  </si>
  <si>
    <t>thường dùng</t>
  </si>
  <si>
    <t>chéngjì</t>
  </si>
  <si>
    <t>thành tích, điểm số</t>
  </si>
  <si>
    <t>城市</t>
  </si>
  <si>
    <t>chéngshì</t>
  </si>
  <si>
    <t>thành phố</t>
  </si>
  <si>
    <t>迟到</t>
  </si>
  <si>
    <t>chídào</t>
  </si>
  <si>
    <t>đến muộn</t>
  </si>
  <si>
    <t>充电宝</t>
  </si>
  <si>
    <t>chōngdiànbǎo</t>
  </si>
  <si>
    <t>sạc dự phòng</t>
  </si>
  <si>
    <t>chūfā</t>
  </si>
  <si>
    <t>xuất phát</t>
  </si>
  <si>
    <t>chūshēng</t>
  </si>
  <si>
    <t>sinh ra</t>
  </si>
  <si>
    <t>chūyuàn</t>
  </si>
  <si>
    <t>xuất viện</t>
  </si>
  <si>
    <t>初中</t>
  </si>
  <si>
    <t>chūzhōng</t>
  </si>
  <si>
    <t>trung học cơ sở</t>
  </si>
  <si>
    <t>除了</t>
  </si>
  <si>
    <t>chúle</t>
  </si>
  <si>
    <t>ngoài ra, ngoại trừ</t>
  </si>
  <si>
    <t>chuán</t>
  </si>
  <si>
    <t>tàu, thuyền</t>
  </si>
  <si>
    <t>chūntiān</t>
  </si>
  <si>
    <t>mùa xuân</t>
  </si>
  <si>
    <t>cídiǎn</t>
  </si>
  <si>
    <t>từ điển</t>
  </si>
  <si>
    <t>聪明</t>
  </si>
  <si>
    <t>cōngmíng</t>
  </si>
  <si>
    <t>thông minh</t>
  </si>
  <si>
    <t>sai</t>
  </si>
  <si>
    <t>打扫</t>
  </si>
  <si>
    <t>dǎsǎo</t>
  </si>
  <si>
    <t>dọn dẹp, quét dọn</t>
  </si>
  <si>
    <t>dǎsuàn</t>
  </si>
  <si>
    <t>dự định, tính toán</t>
  </si>
  <si>
    <t>大概</t>
  </si>
  <si>
    <t>Tính từ, Phó từ, Danh từ</t>
  </si>
  <si>
    <t>dàgài</t>
  </si>
  <si>
    <t>khoảng chừng,chắc</t>
  </si>
  <si>
    <t>dàren</t>
  </si>
  <si>
    <t>người lớn</t>
  </si>
  <si>
    <t>dàxiǎo</t>
  </si>
  <si>
    <t>kích thước</t>
  </si>
  <si>
    <t>大熊猫</t>
  </si>
  <si>
    <t>dàxióngmāo</t>
  </si>
  <si>
    <t>gấu trúc</t>
  </si>
  <si>
    <t>dàyī</t>
  </si>
  <si>
    <t>áo khoác</t>
  </si>
  <si>
    <t>dài</t>
  </si>
  <si>
    <t>mang, đeo, dẫn theo</t>
  </si>
  <si>
    <t>担心</t>
  </si>
  <si>
    <t>dānxīn</t>
  </si>
  <si>
    <t>lo lắng</t>
  </si>
  <si>
    <t>bánh ngọt</t>
  </si>
  <si>
    <t>当然</t>
  </si>
  <si>
    <t>dāngrán</t>
  </si>
  <si>
    <t>đương nhiên</t>
  </si>
  <si>
    <t>dào chù</t>
  </si>
  <si>
    <t>khắp nơi</t>
  </si>
  <si>
    <t>dehuà</t>
  </si>
  <si>
    <t>nếu (dùng trong câu điều kiện)</t>
  </si>
  <si>
    <t>得到</t>
  </si>
  <si>
    <t>dédào</t>
  </si>
  <si>
    <t>đạt được, nhận được</t>
  </si>
  <si>
    <t>得分</t>
  </si>
  <si>
    <t>défēn</t>
  </si>
  <si>
    <t>ghi điểm, số điểm</t>
  </si>
  <si>
    <t>děi</t>
  </si>
  <si>
    <t>phải (cần phải làm gì)</t>
  </si>
  <si>
    <t>dēng</t>
  </si>
  <si>
    <t>đèn</t>
  </si>
  <si>
    <t>dī</t>
  </si>
  <si>
    <t>thấp</t>
  </si>
  <si>
    <t>地点</t>
  </si>
  <si>
    <t>dìdiǎn</t>
  </si>
  <si>
    <t>địa điểm</t>
  </si>
  <si>
    <t>地方</t>
  </si>
  <si>
    <t>dìfang</t>
  </si>
  <si>
    <t>nơi chốn, địa phương</t>
  </si>
  <si>
    <t>地图</t>
  </si>
  <si>
    <t>dìtú</t>
  </si>
  <si>
    <t>bản đồ</t>
  </si>
  <si>
    <t>giờ (đồng hồ), điểm</t>
  </si>
  <si>
    <t>电</t>
  </si>
  <si>
    <t>điện</t>
  </si>
  <si>
    <t>电梯</t>
  </si>
  <si>
    <t>diàntī</t>
  </si>
  <si>
    <t>thang máy</t>
  </si>
  <si>
    <t>电子书</t>
  </si>
  <si>
    <t>diànzǐshū</t>
  </si>
  <si>
    <t>sách điện tử</t>
  </si>
  <si>
    <t>丢</t>
  </si>
  <si>
    <t>diū</t>
  </si>
  <si>
    <t>mất, đánh mất</t>
  </si>
  <si>
    <t>dōngfāng</t>
  </si>
  <si>
    <t>phương Đông</t>
  </si>
  <si>
    <t>dōngtiān</t>
  </si>
  <si>
    <t>mùa đông</t>
  </si>
  <si>
    <t>dǒngde</t>
  </si>
  <si>
    <t>hiểu, biết</t>
  </si>
  <si>
    <t>dòngwù</t>
  </si>
  <si>
    <t>động vật</t>
  </si>
  <si>
    <t>dòngwùyuán</t>
  </si>
  <si>
    <t>vườn thú</t>
  </si>
  <si>
    <t>duǎn</t>
  </si>
  <si>
    <t>ngắn</t>
  </si>
  <si>
    <t>短裤</t>
  </si>
  <si>
    <t>duǎnkù</t>
  </si>
  <si>
    <t>quần đùi, quần ngắn</t>
  </si>
  <si>
    <t>duàn</t>
  </si>
  <si>
    <t>đoạn, phần</t>
  </si>
  <si>
    <t>锻炼</t>
  </si>
  <si>
    <t>duànliàn</t>
  </si>
  <si>
    <t>rèn luyện (thể dục)</t>
  </si>
  <si>
    <t>duìhuà</t>
  </si>
  <si>
    <t>hội thoại, đối thoại</t>
  </si>
  <si>
    <t>饿</t>
  </si>
  <si>
    <t>è</t>
  </si>
  <si>
    <t>đói</t>
  </si>
  <si>
    <t>érqiě</t>
  </si>
  <si>
    <t>mà còn, vả lại</t>
  </si>
  <si>
    <t>耳朵</t>
  </si>
  <si>
    <t>ěrduo</t>
  </si>
  <si>
    <t xml:space="preserve">tai, lỗ tai </t>
  </si>
  <si>
    <t>耳机</t>
  </si>
  <si>
    <t>ěrjī</t>
  </si>
  <si>
    <t xml:space="preserve">tai nghe </t>
  </si>
  <si>
    <t>fā</t>
  </si>
  <si>
    <t>phát ra, gửi đi</t>
  </si>
  <si>
    <t>发烧</t>
  </si>
  <si>
    <t>fāshāo</t>
  </si>
  <si>
    <t>sốt</t>
  </si>
  <si>
    <t>发生</t>
  </si>
  <si>
    <t>fāshēng</t>
  </si>
  <si>
    <t>xảy ra</t>
  </si>
  <si>
    <t>fāxiàn</t>
  </si>
  <si>
    <t>phát hiện</t>
  </si>
  <si>
    <t>发展</t>
  </si>
  <si>
    <t>fāzhǎn</t>
  </si>
  <si>
    <t>phát triển</t>
  </si>
  <si>
    <t>fāngbiàn</t>
  </si>
  <si>
    <t>thuận tiện</t>
  </si>
  <si>
    <t>fāngbiànmiàn</t>
  </si>
  <si>
    <t>mì tôm (mì ăn liền)</t>
  </si>
  <si>
    <t>fāngfǎ</t>
  </si>
  <si>
    <t>phương pháp</t>
  </si>
  <si>
    <t>fāngxiàng</t>
  </si>
  <si>
    <t>phương hướng</t>
  </si>
  <si>
    <t>nhà ở</t>
  </si>
  <si>
    <t>放</t>
  </si>
  <si>
    <t>fàng</t>
  </si>
  <si>
    <t>đặt, để, thả</t>
  </si>
  <si>
    <t>放假</t>
  </si>
  <si>
    <t>fàngjià</t>
  </si>
  <si>
    <t>nghỉ lễ/tết</t>
  </si>
  <si>
    <t>fàngxīn</t>
  </si>
  <si>
    <t>yên tâm</t>
  </si>
  <si>
    <t>放学</t>
  </si>
  <si>
    <t>fàngxué</t>
  </si>
  <si>
    <t>tan học</t>
  </si>
  <si>
    <t>fēnkāi</t>
  </si>
  <si>
    <t>tách ra, chia ra</t>
  </si>
  <si>
    <t>风</t>
  </si>
  <si>
    <t>fēng</t>
  </si>
  <si>
    <t>gió</t>
  </si>
  <si>
    <t>封</t>
  </si>
  <si>
    <t>lượng từ (thư, thiệp)</t>
  </si>
  <si>
    <t>夫妻</t>
  </si>
  <si>
    <t>fūqī</t>
  </si>
  <si>
    <t>vợ chồng</t>
  </si>
  <si>
    <t>你想吃什么就点什么</t>
  </si>
  <si>
    <t>fúwù</t>
  </si>
  <si>
    <t>phục vụ</t>
  </si>
  <si>
    <t>服务台</t>
  </si>
  <si>
    <t>fúwùtái</t>
  </si>
  <si>
    <t>quầy lễ tân</t>
  </si>
  <si>
    <t>附近</t>
  </si>
  <si>
    <t>fùjìn</t>
  </si>
  <si>
    <t>gần đây, khu vực lân cận</t>
  </si>
  <si>
    <t>fùxí</t>
  </si>
  <si>
    <t>ôn tập</t>
  </si>
  <si>
    <t>该</t>
  </si>
  <si>
    <t>gāi</t>
  </si>
  <si>
    <t>nên, đáng</t>
  </si>
  <si>
    <t>干净</t>
  </si>
  <si>
    <t>gānjìng</t>
  </si>
  <si>
    <t>sạch sẽ</t>
  </si>
  <si>
    <t>gǎndào</t>
  </si>
  <si>
    <t>cảm thấy</t>
  </si>
  <si>
    <t>感冒</t>
  </si>
  <si>
    <t>gǎnmào</t>
  </si>
  <si>
    <t>cảm cúm</t>
  </si>
  <si>
    <t>感兴趣</t>
  </si>
  <si>
    <t>gǎn xìngqù</t>
  </si>
  <si>
    <t>cảm thấy hứng thú</t>
  </si>
  <si>
    <t>干</t>
  </si>
  <si>
    <t>gàn</t>
  </si>
  <si>
    <t>gāng</t>
  </si>
  <si>
    <t>vừa mới</t>
  </si>
  <si>
    <t>gāngcái</t>
  </si>
  <si>
    <t>vừa nãy</t>
  </si>
  <si>
    <t>gānggāng</t>
  </si>
  <si>
    <t>高铁</t>
  </si>
  <si>
    <t>gāotiě</t>
  </si>
  <si>
    <t>tàu cao tốc</t>
  </si>
  <si>
    <t>根据</t>
  </si>
  <si>
    <t>Động từ, Giới từ, Danh từ</t>
  </si>
  <si>
    <t>gēnjù</t>
  </si>
  <si>
    <t>căn cứ, dựa theo</t>
  </si>
  <si>
    <t>hơn, thêm nữa</t>
  </si>
  <si>
    <t>工作日</t>
  </si>
  <si>
    <t>gōngzuòrì</t>
  </si>
  <si>
    <t>ngày làm việc</t>
  </si>
  <si>
    <t>gōngjīn</t>
  </si>
  <si>
    <t>kg (kilôgam)</t>
  </si>
  <si>
    <t>gōngyuán</t>
  </si>
  <si>
    <t>công viên</t>
  </si>
  <si>
    <t>gùshi</t>
  </si>
  <si>
    <t>câu chuyện</t>
  </si>
  <si>
    <t>刮</t>
  </si>
  <si>
    <t>guā</t>
  </si>
  <si>
    <t>thổi (gió)</t>
  </si>
  <si>
    <t>关</t>
  </si>
  <si>
    <t>guān</t>
  </si>
  <si>
    <t>đóng, tắt</t>
  </si>
  <si>
    <t>guānjī</t>
  </si>
  <si>
    <t>tắt máy</t>
  </si>
  <si>
    <t>关系</t>
  </si>
  <si>
    <t>guānxì</t>
  </si>
  <si>
    <t>quan hệ</t>
  </si>
  <si>
    <t>guānxīn</t>
  </si>
  <si>
    <t>quan tâm</t>
  </si>
  <si>
    <t>我听说特有的熊猫出国了</t>
  </si>
  <si>
    <t>关于</t>
  </si>
  <si>
    <t>guānyú</t>
  </si>
  <si>
    <t>về, liên quan đến</t>
  </si>
  <si>
    <t>关注</t>
  </si>
  <si>
    <t>guānzhù</t>
  </si>
  <si>
    <t>quan tâm, chú ý đến</t>
  </si>
  <si>
    <t>国宝</t>
  </si>
  <si>
    <t>guóbǎo</t>
  </si>
  <si>
    <t>quốc bảo</t>
  </si>
  <si>
    <t>国家</t>
  </si>
  <si>
    <t>guójiā</t>
  </si>
  <si>
    <t>quốc gia</t>
  </si>
  <si>
    <t>过节</t>
  </si>
  <si>
    <t>guòjié</t>
  </si>
  <si>
    <t>đón lễ/tết</t>
  </si>
  <si>
    <t>quá khứ, đã qua</t>
  </si>
  <si>
    <t>哈哈</t>
  </si>
  <si>
    <t>hāhā</t>
  </si>
  <si>
    <t>ha ha (tiếng cười)</t>
  </si>
  <si>
    <t>hǎi</t>
  </si>
  <si>
    <t>biển</t>
  </si>
  <si>
    <t>害怕</t>
  </si>
  <si>
    <t>hàipà</t>
  </si>
  <si>
    <t>sợ hãi</t>
  </si>
  <si>
    <t>打不好没关系</t>
  </si>
  <si>
    <t>hǎoduō</t>
  </si>
  <si>
    <t>nhiều</t>
  </si>
  <si>
    <t>hǎojiǔ</t>
  </si>
  <si>
    <t>rất lâu</t>
  </si>
  <si>
    <t>1, 16</t>
  </si>
  <si>
    <t>我们去机场接你们；我听说有的熊猫出国了</t>
  </si>
  <si>
    <t>hình như, giống như</t>
  </si>
  <si>
    <t>号码</t>
  </si>
  <si>
    <t>hàomǎ</t>
  </si>
  <si>
    <t>số (điện thoại, phòng...)</t>
  </si>
  <si>
    <t>héshì</t>
  </si>
  <si>
    <t>phù hợp</t>
  </si>
  <si>
    <t>sông</t>
  </si>
  <si>
    <t>hēibǎn</t>
  </si>
  <si>
    <t>bảng đen</t>
  </si>
  <si>
    <t>红绿灯</t>
  </si>
  <si>
    <t>hóng-lǜdēng</t>
  </si>
  <si>
    <t>đèn giao thông</t>
  </si>
  <si>
    <t>hòulái</t>
  </si>
  <si>
    <t>sau này</t>
  </si>
  <si>
    <t>后年</t>
  </si>
  <si>
    <t>hòunián</t>
  </si>
  <si>
    <t>năm kia</t>
  </si>
  <si>
    <t>后天</t>
  </si>
  <si>
    <t>hòutiān</t>
  </si>
  <si>
    <t>ngày kia</t>
  </si>
  <si>
    <t>hùzhào</t>
  </si>
  <si>
    <t>hộ chiếu</t>
  </si>
  <si>
    <t>huāyuán</t>
  </si>
  <si>
    <t>vườn hoa</t>
  </si>
  <si>
    <t>huàjiā</t>
  </si>
  <si>
    <t>họa sĩ</t>
  </si>
  <si>
    <t>huānyíng</t>
  </si>
  <si>
    <t>chào đón</t>
  </si>
  <si>
    <t>huán</t>
  </si>
  <si>
    <t>trả lại</t>
  </si>
  <si>
    <t>环境</t>
  </si>
  <si>
    <t>huánjìng</t>
  </si>
  <si>
    <t>môi trường</t>
  </si>
  <si>
    <t>huàn</t>
  </si>
  <si>
    <t>đổi, thay đổi</t>
  </si>
  <si>
    <t>huángsè</t>
  </si>
  <si>
    <t>màu vàng</t>
  </si>
  <si>
    <t>về, quay lại</t>
  </si>
  <si>
    <t>回答</t>
  </si>
  <si>
    <t>huídá</t>
  </si>
  <si>
    <t>trả lời</t>
  </si>
  <si>
    <t>biết (làm gì), sẽ</t>
  </si>
  <si>
    <t>会议</t>
  </si>
  <si>
    <t>huìyì</t>
  </si>
  <si>
    <t>cuộc họp</t>
  </si>
  <si>
    <t>Phó từ, Liên từ</t>
  </si>
  <si>
    <t>huò</t>
  </si>
  <si>
    <t>hoặc</t>
  </si>
  <si>
    <t>huòzhě</t>
  </si>
  <si>
    <t>hoặc là</t>
  </si>
  <si>
    <t>极</t>
  </si>
  <si>
    <t>jí</t>
  </si>
  <si>
    <t>cực kỳ</t>
  </si>
  <si>
    <t>Động từ, Tính từ</t>
  </si>
  <si>
    <t>gấp, vội</t>
  </si>
  <si>
    <t>记</t>
  </si>
  <si>
    <t>jì</t>
  </si>
  <si>
    <t>nhớ, ghi chép</t>
  </si>
  <si>
    <t>继续</t>
  </si>
  <si>
    <t>jìxù</t>
  </si>
  <si>
    <t>tiếp tục</t>
  </si>
  <si>
    <t>jī</t>
  </si>
  <si>
    <t>con gà</t>
  </si>
  <si>
    <t>thêm, cộng</t>
  </si>
  <si>
    <t>jiǎnchá</t>
  </si>
  <si>
    <t>kiểm tra</t>
  </si>
  <si>
    <t>坚持</t>
  </si>
  <si>
    <t>jiānchí</t>
  </si>
  <si>
    <t>kiên trì</t>
  </si>
  <si>
    <t>简单</t>
  </si>
  <si>
    <t>jiǎndān</t>
  </si>
  <si>
    <t>đơn giản</t>
  </si>
  <si>
    <t>jiǎng</t>
  </si>
  <si>
    <t>nói, giảng giải</t>
  </si>
  <si>
    <t>jiànkāng</t>
  </si>
  <si>
    <t>khỏe mạnh</t>
  </si>
  <si>
    <t>见面</t>
  </si>
  <si>
    <t>jiànmiàn</t>
  </si>
  <si>
    <t>gặp mặt</t>
  </si>
  <si>
    <t>检票</t>
  </si>
  <si>
    <t>jiǎnpiào</t>
  </si>
  <si>
    <t>soát vé</t>
  </si>
  <si>
    <t>jiǎo</t>
  </si>
  <si>
    <t>hào (đơn vị tiền)</t>
  </si>
  <si>
    <t>bàn chân</t>
  </si>
  <si>
    <t>jiàqī</t>
  </si>
  <si>
    <t>kỳ nghỉ</t>
  </si>
  <si>
    <t>14, 18</t>
  </si>
  <si>
    <t>这本书被别人借走了；我学会了包饺子</t>
  </si>
  <si>
    <t>节</t>
  </si>
  <si>
    <t>Lượng từ, Danh từ, Động từ</t>
  </si>
  <si>
    <t>jié</t>
  </si>
  <si>
    <t>tiết (học), ngày lễ</t>
  </si>
  <si>
    <t>jiè</t>
  </si>
  <si>
    <t>mượn, cho mượn</t>
  </si>
  <si>
    <t>đón, tiếp nhận</t>
  </si>
  <si>
    <t>đường phố</t>
  </si>
  <si>
    <t>结婚</t>
  </si>
  <si>
    <t>jiéhūn</t>
  </si>
  <si>
    <t>kết hôn</t>
  </si>
  <si>
    <t>解决</t>
  </si>
  <si>
    <t>jiějué</t>
  </si>
  <si>
    <t>giải quyết</t>
  </si>
  <si>
    <t>姐妹</t>
  </si>
  <si>
    <t>jiěmèi</t>
  </si>
  <si>
    <t>chị em</t>
  </si>
  <si>
    <t>jiémù</t>
  </si>
  <si>
    <t>chương trình</t>
  </si>
  <si>
    <t>jiérì</t>
  </si>
  <si>
    <t>ngày lễ</t>
  </si>
  <si>
    <t>结束</t>
  </si>
  <si>
    <t>jiéshù</t>
  </si>
  <si>
    <t>kết thúc</t>
  </si>
  <si>
    <t>几乎</t>
  </si>
  <si>
    <t>jīhū</t>
  </si>
  <si>
    <t>hầu như</t>
  </si>
  <si>
    <t>jīhuì</t>
  </si>
  <si>
    <t>cơ hội</t>
  </si>
  <si>
    <t>季节</t>
  </si>
  <si>
    <t>jìjié</t>
  </si>
  <si>
    <t>mùa</t>
  </si>
  <si>
    <t>cân (đơn vị khối lượng)</t>
  </si>
  <si>
    <t>jīngguò</t>
  </si>
  <si>
    <t>trải qua, đi qua</t>
  </si>
  <si>
    <t>jīnglǐ</t>
  </si>
  <si>
    <t>giám đốc, quản lý</t>
  </si>
  <si>
    <t>旧</t>
  </si>
  <si>
    <t>cũ</t>
  </si>
  <si>
    <t>久</t>
  </si>
  <si>
    <t>lâu</t>
  </si>
  <si>
    <t>rượu</t>
  </si>
  <si>
    <t>jù</t>
  </si>
  <si>
    <t>lượng từ cho câu</t>
  </si>
  <si>
    <t>决定</t>
  </si>
  <si>
    <t>juédìng</t>
  </si>
  <si>
    <t>quyết định</t>
  </si>
  <si>
    <t>jùzi</t>
  </si>
  <si>
    <t>câu</t>
  </si>
  <si>
    <t>kǎ</t>
  </si>
  <si>
    <t>Thẻ (card)</t>
  </si>
  <si>
    <t>开花</t>
  </si>
  <si>
    <t>kāihuā</t>
  </si>
  <si>
    <t>Nở hoa</t>
  </si>
  <si>
    <t>开会</t>
  </si>
  <si>
    <t>kāihuì</t>
  </si>
  <si>
    <t>Họp, mở cuộc họp</t>
  </si>
  <si>
    <t>kāijī</t>
  </si>
  <si>
    <t>Khởi động máy, bật máy</t>
  </si>
  <si>
    <t>kāixīn</t>
  </si>
  <si>
    <t>Vui vẻ</t>
  </si>
  <si>
    <t>看来</t>
  </si>
  <si>
    <t>kànlái</t>
  </si>
  <si>
    <t>Xem ra, có vẻ như</t>
  </si>
  <si>
    <t>刻</t>
  </si>
  <si>
    <t>Lượng từ, Động từ</t>
  </si>
  <si>
    <t>kè</t>
  </si>
  <si>
    <t>Khắc / 15 phút (một khắc)</t>
  </si>
  <si>
    <t>可</t>
  </si>
  <si>
    <t>Liên từ, Phó từ</t>
  </si>
  <si>
    <t>kě</t>
  </si>
  <si>
    <t>Có thể / Khá là...</t>
  </si>
  <si>
    <t>渴</t>
  </si>
  <si>
    <t>Khát (nước)</t>
  </si>
  <si>
    <t>kě'ài</t>
  </si>
  <si>
    <t>Đáng yêu, dễ thương</t>
  </si>
  <si>
    <t>课本</t>
  </si>
  <si>
    <t>kèběn</t>
  </si>
  <si>
    <t>Sách giáo khoa</t>
  </si>
  <si>
    <t>kèrén</t>
  </si>
  <si>
    <t>Khách, khách khứa</t>
  </si>
  <si>
    <t>kěshì</t>
  </si>
  <si>
    <t>Nhưng, nhưng mà</t>
  </si>
  <si>
    <t>课文</t>
  </si>
  <si>
    <t>kèwén</t>
  </si>
  <si>
    <t>Bài đọc, bài văn trong giáo trình</t>
  </si>
  <si>
    <t>空调</t>
  </si>
  <si>
    <t>kōngtiáo</t>
  </si>
  <si>
    <t>Máy điều hòa nhiệt độ</t>
  </si>
  <si>
    <t>kū</t>
  </si>
  <si>
    <t>Khóc</t>
  </si>
  <si>
    <t>kuàizi</t>
  </si>
  <si>
    <t>Đôi đũa</t>
  </si>
  <si>
    <t>矿泉水</t>
  </si>
  <si>
    <t>kuàngquánshuǐ</t>
  </si>
  <si>
    <t>Nước khoáng</t>
  </si>
  <si>
    <t>láizì</t>
  </si>
  <si>
    <t>Đến từ</t>
  </si>
  <si>
    <t>lán</t>
  </si>
  <si>
    <t>Màu xanh lam</t>
  </si>
  <si>
    <t>老人</t>
  </si>
  <si>
    <t>lǎorén</t>
  </si>
  <si>
    <t>Người già</t>
  </si>
  <si>
    <t>liàn</t>
  </si>
  <si>
    <t>Luyện tập, rèn luyện</t>
  </si>
  <si>
    <t>liǎn</t>
  </si>
  <si>
    <t>Khuôn mặt</t>
  </si>
  <si>
    <t>liàng</t>
  </si>
  <si>
    <t>Chiếc, cái (dùng cho xe cộ)</t>
  </si>
  <si>
    <t>liángkuai</t>
  </si>
  <si>
    <t>Mát mẻ</t>
  </si>
  <si>
    <t>liànxí</t>
  </si>
  <si>
    <t>Luyện tập, bài tập</t>
  </si>
  <si>
    <t>聊</t>
  </si>
  <si>
    <t>liáo</t>
  </si>
  <si>
    <t>Tán gẫu, trò chuyện</t>
  </si>
  <si>
    <t>了解</t>
  </si>
  <si>
    <t>liǎojiě</t>
  </si>
  <si>
    <t>Hiểu rõ, tìm hiểu</t>
  </si>
  <si>
    <t>聊天儿</t>
  </si>
  <si>
    <t>liáotiānr</t>
  </si>
  <si>
    <t>Nói chuyện phiếm</t>
  </si>
  <si>
    <t>líkāi</t>
  </si>
  <si>
    <t>Rời khỏi, chia lìa</t>
  </si>
  <si>
    <t>邻居</t>
  </si>
  <si>
    <t>línjū</t>
  </si>
  <si>
    <t>Hàng xóm</t>
  </si>
  <si>
    <t>历史</t>
  </si>
  <si>
    <t>lìshǐ</t>
  </si>
  <si>
    <t>Lịch sử</t>
  </si>
  <si>
    <t>留学</t>
  </si>
  <si>
    <t>liúxué</t>
  </si>
  <si>
    <t>Du học</t>
  </si>
  <si>
    <t>liúxuésheng</t>
  </si>
  <si>
    <t>Du học sinh</t>
  </si>
  <si>
    <t>Quà tặng</t>
  </si>
  <si>
    <t>楼梯</t>
  </si>
  <si>
    <t>lóutī</t>
  </si>
  <si>
    <t>Cầu thang</t>
  </si>
  <si>
    <t>路口</t>
  </si>
  <si>
    <t>lùkǒu</t>
  </si>
  <si>
    <t>Giao lộ, ngã ba, ngã tư</t>
  </si>
  <si>
    <t>马</t>
  </si>
  <si>
    <t>mǎ</t>
  </si>
  <si>
    <t>Con ngựa</t>
  </si>
  <si>
    <t>马路</t>
  </si>
  <si>
    <t>mǎlù</t>
  </si>
  <si>
    <t>Đường cái, đường lộ</t>
  </si>
  <si>
    <t>马上</t>
  </si>
  <si>
    <t>mǎshàng</t>
  </si>
  <si>
    <t>Ngay lập tức, ngay bây giờ</t>
  </si>
  <si>
    <t>mǎnyì</t>
  </si>
  <si>
    <t>Hài lòng, ưng ý</t>
  </si>
  <si>
    <t>毛</t>
  </si>
  <si>
    <t>máo</t>
  </si>
  <si>
    <t>Lông (động vật), tóc / Hào (đơn vị tiền tệ Trung Quốc)</t>
  </si>
  <si>
    <t>米</t>
  </si>
  <si>
    <t>mǐ</t>
  </si>
  <si>
    <t>Gạo / Mét (đơn vị đo lường)</t>
  </si>
  <si>
    <t>miānqián</t>
  </si>
  <si>
    <t>Trước mặt</t>
  </si>
  <si>
    <t>名人</t>
  </si>
  <si>
    <t>míngrén</t>
  </si>
  <si>
    <t>Người nổi tiếng</t>
  </si>
  <si>
    <t>明白</t>
  </si>
  <si>
    <t>míngbai</t>
  </si>
  <si>
    <t>Hiểu rõ, rõ ràng</t>
  </si>
  <si>
    <t>目标</t>
  </si>
  <si>
    <t>mùbiāo</t>
  </si>
  <si>
    <t>Mục tiêu</t>
  </si>
  <si>
    <t>男生</t>
  </si>
  <si>
    <t>nánshēng</t>
  </si>
  <si>
    <t>Nam sinh, bạn nam</t>
  </si>
  <si>
    <t>nánfāng</t>
  </si>
  <si>
    <t>Miền nam, phương nam</t>
  </si>
  <si>
    <t>难</t>
  </si>
  <si>
    <t>Khó</t>
  </si>
  <si>
    <t>nánguò</t>
  </si>
  <si>
    <t>Buồn bã, khó chịu, khó qua khỏi</t>
  </si>
  <si>
    <t>nánkàn</t>
  </si>
  <si>
    <t>Xấu, khó nhìn</t>
  </si>
  <si>
    <t>nántí</t>
  </si>
  <si>
    <t>Đề bài khó, vấn đề nan giải</t>
  </si>
  <si>
    <t>niánqīng</t>
  </si>
  <si>
    <t>Trẻ trung, trẻ tuổi</t>
  </si>
  <si>
    <t>niánjí</t>
  </si>
  <si>
    <t>Năm học, khối lớp</t>
  </si>
  <si>
    <t>牛</t>
  </si>
  <si>
    <t>niú</t>
  </si>
  <si>
    <t>Con bò (nghĩa lóng: ngầu, giỏi)</t>
  </si>
  <si>
    <t>nǔlì</t>
  </si>
  <si>
    <t>Nỗ lực, cố gắng</t>
  </si>
  <si>
    <t>女生</t>
  </si>
  <si>
    <t>nǚshēng</t>
  </si>
  <si>
    <t>Nữ sinh, bạn nữ</t>
  </si>
  <si>
    <t>pá</t>
  </si>
  <si>
    <t>Leo, trèo, bò</t>
  </si>
  <si>
    <t>怕</t>
  </si>
  <si>
    <t>pà</t>
  </si>
  <si>
    <t>Sợ, e rằng</t>
  </si>
  <si>
    <t>拍照</t>
  </si>
  <si>
    <t>pāizhào</t>
  </si>
  <si>
    <t>Chụp ảnh</t>
  </si>
  <si>
    <t>盘子</t>
  </si>
  <si>
    <t>pánzi</t>
  </si>
  <si>
    <t>Cái đĩa</t>
  </si>
  <si>
    <t>胖</t>
  </si>
  <si>
    <t>pàng</t>
  </si>
  <si>
    <t>Béo, mập</t>
  </si>
  <si>
    <t>啤酒</t>
  </si>
  <si>
    <t>píjiǔ</t>
  </si>
  <si>
    <t>Bia</t>
  </si>
  <si>
    <t>píngshí</t>
  </si>
  <si>
    <t>Bình thường, lúc thường</t>
  </si>
  <si>
    <t>其实</t>
  </si>
  <si>
    <t>qíshí</t>
  </si>
  <si>
    <t>Thực ra, thực tế là</t>
  </si>
  <si>
    <t>qítā</t>
  </si>
  <si>
    <t>Cái khác, người khác</t>
  </si>
  <si>
    <t>奇怪</t>
  </si>
  <si>
    <t>qíguài</t>
  </si>
  <si>
    <t>Kỳ lạ, quái lạ</t>
  </si>
  <si>
    <t>qí</t>
  </si>
  <si>
    <t>Cưỡi (xe đạp, xe máy, ngựa)</t>
  </si>
  <si>
    <t>起</t>
  </si>
  <si>
    <t>Động từ, Lượng từ</t>
  </si>
  <si>
    <t>qǐ</t>
  </si>
  <si>
    <t>Dậy, nổi lên, bắt đầu</t>
  </si>
  <si>
    <t>qǐfēi</t>
  </si>
  <si>
    <t>Cất cánh (máy bay)</t>
  </si>
  <si>
    <t>前天</t>
  </si>
  <si>
    <t>qiántiān</t>
  </si>
  <si>
    <t>Ngày hôm kia</t>
  </si>
  <si>
    <t>qīngchu</t>
  </si>
  <si>
    <t>Rõ ràng, sạch sẽ</t>
  </si>
  <si>
    <t>请假</t>
  </si>
  <si>
    <t>qǐngjià</t>
  </si>
  <si>
    <t>Xin nghỉ (phép/học)</t>
  </si>
  <si>
    <t>qǐngkè</t>
  </si>
  <si>
    <t>Mời khách, bao ăn/uống</t>
  </si>
  <si>
    <t>qiūtiān</t>
  </si>
  <si>
    <t>Mùa thu</t>
  </si>
  <si>
    <t>qiúchǎng</t>
  </si>
  <si>
    <t>Sân bóng</t>
  </si>
  <si>
    <t>quán</t>
  </si>
  <si>
    <t>Toàn bộ, tất cả</t>
  </si>
  <si>
    <t>裙子</t>
  </si>
  <si>
    <t>qúnzi</t>
  </si>
  <si>
    <t>Cái váy</t>
  </si>
  <si>
    <t>ránhòu</t>
  </si>
  <si>
    <t>Sau đó, rồi thì</t>
  </si>
  <si>
    <t>rèqíng</t>
  </si>
  <si>
    <t>Nhiệt tình, nhiệt huyết</t>
  </si>
  <si>
    <t>认得</t>
  </si>
  <si>
    <t>rènde</t>
  </si>
  <si>
    <t>Nhận ra, quen biết</t>
  </si>
  <si>
    <t>rènwéi</t>
  </si>
  <si>
    <t>Cho rằng, nghĩ rằng</t>
  </si>
  <si>
    <t>认真</t>
  </si>
  <si>
    <t>rènzhēn</t>
  </si>
  <si>
    <t>Nghiêm túc, chăm chỉ</t>
  </si>
  <si>
    <t>容易</t>
  </si>
  <si>
    <t>róngyì</t>
  </si>
  <si>
    <t>Dễ dàng</t>
  </si>
  <si>
    <t>rúguǒ</t>
  </si>
  <si>
    <t>Nếu, nếu như</t>
  </si>
  <si>
    <t>伞</t>
  </si>
  <si>
    <t>sǎn</t>
  </si>
  <si>
    <t>Cái ô, cây dù</t>
  </si>
  <si>
    <t>沙发</t>
  </si>
  <si>
    <t>shāfā</t>
  </si>
  <si>
    <t>Ghế sa-pha, ghế băng</t>
  </si>
  <si>
    <t>山</t>
  </si>
  <si>
    <t>shān</t>
  </si>
  <si>
    <t>Núi</t>
  </si>
  <si>
    <t>勺子</t>
  </si>
  <si>
    <t>sháozi</t>
  </si>
  <si>
    <t>Cái thìa, cái muỗng</t>
  </si>
  <si>
    <t>shēnbiān</t>
  </si>
  <si>
    <t>Bên mình, bên cạnh</t>
  </si>
  <si>
    <t>身高</t>
  </si>
  <si>
    <t>shēngāo</t>
  </si>
  <si>
    <t>Chiều cao</t>
  </si>
  <si>
    <t>shēnghuó</t>
  </si>
  <si>
    <t>Cuộc sống, sinh hoạt</t>
  </si>
  <si>
    <t>生气</t>
  </si>
  <si>
    <t>shēngqì</t>
  </si>
  <si>
    <t>Tức giận</t>
  </si>
  <si>
    <t>声</t>
  </si>
  <si>
    <t>shēng</t>
  </si>
  <si>
    <t>Tiếng, âm thanh</t>
  </si>
  <si>
    <t>shēngyīn</t>
  </si>
  <si>
    <t>Âm thanh, tiếng động</t>
  </si>
  <si>
    <t>世界</t>
  </si>
  <si>
    <t>shìjiè</t>
  </si>
  <si>
    <t>Thế giới</t>
  </si>
  <si>
    <t>Thử</t>
  </si>
  <si>
    <t>视频</t>
  </si>
  <si>
    <t>shìpín</t>
  </si>
  <si>
    <t>Video</t>
  </si>
  <si>
    <t>室</t>
  </si>
  <si>
    <t>Phòng</t>
  </si>
  <si>
    <t>shōu</t>
  </si>
  <si>
    <t>Thu, nhận, thu dọn</t>
  </si>
  <si>
    <t>shōudào</t>
  </si>
  <si>
    <t>Nhận được</t>
  </si>
  <si>
    <t>shòudào</t>
  </si>
  <si>
    <t>Nhận được, bị (tác động)</t>
  </si>
  <si>
    <t>瘦</t>
  </si>
  <si>
    <t>shòu</t>
  </si>
  <si>
    <t>Gầy</t>
  </si>
  <si>
    <t>叔叔</t>
  </si>
  <si>
    <t>shūshu</t>
  </si>
  <si>
    <t>Chú</t>
  </si>
  <si>
    <t>树</t>
  </si>
  <si>
    <t>shù</t>
  </si>
  <si>
    <t>Cây</t>
  </si>
  <si>
    <t>数学</t>
  </si>
  <si>
    <t>shùxué</t>
  </si>
  <si>
    <t>Toán học</t>
  </si>
  <si>
    <t>刷</t>
  </si>
  <si>
    <t>shuā</t>
  </si>
  <si>
    <t>Chải, quét, đánh (răng)</t>
  </si>
  <si>
    <t>双</t>
  </si>
  <si>
    <t>shuāng</t>
  </si>
  <si>
    <t>Đôi, cặp</t>
  </si>
  <si>
    <t>shuǐpíng</t>
  </si>
  <si>
    <t>Trình độ</t>
  </si>
  <si>
    <t>sījī</t>
  </si>
  <si>
    <t>Tài xế</t>
  </si>
  <si>
    <t>四季</t>
  </si>
  <si>
    <t>sìjì</t>
  </si>
  <si>
    <t>Bốn mùa</t>
  </si>
  <si>
    <t>太阳</t>
  </si>
  <si>
    <t>tàiyáng</t>
  </si>
  <si>
    <t>Mặt trời</t>
  </si>
  <si>
    <t>特别</t>
  </si>
  <si>
    <t>tèbié</t>
  </si>
  <si>
    <t>Đặc biệt</t>
  </si>
  <si>
    <t>提高</t>
  </si>
  <si>
    <t>tígāo</t>
  </si>
  <si>
    <t>Nâng cao</t>
  </si>
  <si>
    <t>体育</t>
  </si>
  <si>
    <t>tǐyù</t>
  </si>
  <si>
    <t>Thể dục</t>
  </si>
  <si>
    <t>体育馆</t>
  </si>
  <si>
    <t>tǐyùguǎn</t>
  </si>
  <si>
    <t>Nhà thi đấu thể dục thể thao</t>
  </si>
  <si>
    <t>甜</t>
  </si>
  <si>
    <t>tián</t>
  </si>
  <si>
    <t>Ngọt</t>
  </si>
  <si>
    <t>跳</t>
  </si>
  <si>
    <t>tiào</t>
  </si>
  <si>
    <t>Nhảy</t>
  </si>
  <si>
    <t>听说</t>
  </si>
  <si>
    <t>tīngshuō</t>
  </si>
  <si>
    <t>Nghe nói</t>
  </si>
  <si>
    <t>挺</t>
  </si>
  <si>
    <t>tǐng</t>
  </si>
  <si>
    <t>Rất, khá là</t>
  </si>
  <si>
    <t>同事</t>
  </si>
  <si>
    <t>tóngshì</t>
  </si>
  <si>
    <t>Đồng nghiệp</t>
  </si>
  <si>
    <t>同意</t>
  </si>
  <si>
    <t>tóngyì</t>
  </si>
  <si>
    <t>Đồng ý</t>
  </si>
  <si>
    <t>头发</t>
  </si>
  <si>
    <t>tóufa</t>
  </si>
  <si>
    <t>Tóc</t>
  </si>
  <si>
    <t>突然</t>
  </si>
  <si>
    <t>tūrán</t>
  </si>
  <si>
    <t>Đột nhiên</t>
  </si>
  <si>
    <t>图书馆</t>
  </si>
  <si>
    <t>túshūguǎn</t>
  </si>
  <si>
    <t>Thư viện</t>
  </si>
  <si>
    <t>腿</t>
  </si>
  <si>
    <t>tuǐ</t>
  </si>
  <si>
    <t>Chân</t>
  </si>
  <si>
    <t>外地</t>
  </si>
  <si>
    <t>wàidì</t>
  </si>
  <si>
    <t>Ngoại tỉnh, nơi khác</t>
  </si>
  <si>
    <t>外卖</t>
  </si>
  <si>
    <t>wàimài</t>
  </si>
  <si>
    <t>Đồ ăn mang về (takeaway)</t>
  </si>
  <si>
    <t>外语</t>
  </si>
  <si>
    <t>wàiyǔ</t>
  </si>
  <si>
    <t>Ngoại ngữ</t>
  </si>
  <si>
    <t>完成</t>
  </si>
  <si>
    <t>wánchéng</t>
  </si>
  <si>
    <t>Hoàn thành</t>
  </si>
  <si>
    <t>晚点</t>
  </si>
  <si>
    <t>wǎndiǎn</t>
  </si>
  <si>
    <t>Trễ, muộn (thường dùng cho tàu xe, máy bay)</t>
  </si>
  <si>
    <t>晚会</t>
  </si>
  <si>
    <t>wǎnhuì</t>
  </si>
  <si>
    <t>Dạ hội, tiệc tối</t>
  </si>
  <si>
    <t>碗</t>
  </si>
  <si>
    <t>Cái bát (cái tô)</t>
  </si>
  <si>
    <t>网球</t>
  </si>
  <si>
    <t>wǎngqiú</t>
  </si>
  <si>
    <t>Quần vợt (tennis)</t>
  </si>
  <si>
    <t>网站</t>
  </si>
  <si>
    <t>wǎngzhàn</t>
  </si>
  <si>
    <t>Trang web (website)</t>
  </si>
  <si>
    <t>忘记</t>
  </si>
  <si>
    <t>wàngjì</t>
  </si>
  <si>
    <t>Quên</t>
  </si>
  <si>
    <t>卫生间</t>
  </si>
  <si>
    <t>wèishēngjiān</t>
  </si>
  <si>
    <t>Nhà vệ sinh</t>
  </si>
  <si>
    <t>为</t>
  </si>
  <si>
    <t>Vì, cho</t>
  </si>
  <si>
    <t>为了</t>
  </si>
  <si>
    <t>wèile</t>
  </si>
  <si>
    <t>Để, vì mục đích</t>
  </si>
  <si>
    <t>文化</t>
  </si>
  <si>
    <t>wénhuà</t>
  </si>
  <si>
    <t>Văn hóa</t>
  </si>
  <si>
    <t>屋子</t>
  </si>
  <si>
    <t>wūzi</t>
  </si>
  <si>
    <t>Căn phòng, nhà</t>
  </si>
  <si>
    <t>西北</t>
  </si>
  <si>
    <t>xīběi</t>
  </si>
  <si>
    <t>Tây Bắc</t>
  </si>
  <si>
    <t>西瓜</t>
  </si>
  <si>
    <t>xīguā</t>
  </si>
  <si>
    <t>Dưa hấu</t>
  </si>
  <si>
    <t>习惯</t>
  </si>
  <si>
    <t>xíguàn</t>
  </si>
  <si>
    <t>Thói quen</t>
  </si>
  <si>
    <t>洗衣机</t>
  </si>
  <si>
    <t>xǐyījī</t>
  </si>
  <si>
    <t>Máy giặt</t>
  </si>
  <si>
    <t>喜爱</t>
  </si>
  <si>
    <t>xǐ'ài</t>
  </si>
  <si>
    <t>Yêu thích</t>
  </si>
  <si>
    <t>夏天</t>
  </si>
  <si>
    <t>xiàtiān</t>
  </si>
  <si>
    <t>Mùa hè</t>
  </si>
  <si>
    <t>先</t>
  </si>
  <si>
    <t>xiān</t>
  </si>
  <si>
    <t>Trước</t>
  </si>
  <si>
    <t>相信</t>
  </si>
  <si>
    <t>xiāngxìn</t>
  </si>
  <si>
    <t>Tin tưởng</t>
  </si>
  <si>
    <t>香蕉</t>
  </si>
  <si>
    <t>xiāngjiāo</t>
  </si>
  <si>
    <t>Chuối</t>
  </si>
  <si>
    <t>箱子</t>
  </si>
  <si>
    <t>xiāngzi</t>
  </si>
  <si>
    <t>Cái hòm, vali</t>
  </si>
  <si>
    <t>向</t>
  </si>
  <si>
    <t>xiàng</t>
  </si>
  <si>
    <t>Hướng về</t>
  </si>
  <si>
    <t>相机</t>
  </si>
  <si>
    <t>xiàngjī</t>
  </si>
  <si>
    <t>Máy ảnh</t>
  </si>
  <si>
    <t>像</t>
  </si>
  <si>
    <t>Giống như</t>
  </si>
  <si>
    <t>小区</t>
  </si>
  <si>
    <t>xiǎoqū</t>
  </si>
  <si>
    <t>Khu dân cư</t>
  </si>
  <si>
    <t>小心</t>
  </si>
  <si>
    <t>xiǎoxīn</t>
  </si>
  <si>
    <t>Cẩn thận</t>
  </si>
  <si>
    <t>校园</t>
  </si>
  <si>
    <t>xiàoyuán</t>
  </si>
  <si>
    <t>Khuôn viên trường</t>
  </si>
  <si>
    <t>校长</t>
  </si>
  <si>
    <t>xiàozhǎng</t>
  </si>
  <si>
    <t>Hiệu trưởng</t>
  </si>
  <si>
    <t>鞋</t>
  </si>
  <si>
    <t>xié</t>
  </si>
  <si>
    <t>Giày</t>
  </si>
  <si>
    <t>心里</t>
  </si>
  <si>
    <t>xīnlǐ</t>
  </si>
  <si>
    <t>Trong lòng</t>
  </si>
  <si>
    <t>Năm mới</t>
  </si>
  <si>
    <t>新闻</t>
  </si>
  <si>
    <t>xīnwén</t>
  </si>
  <si>
    <t>Tin tức</t>
  </si>
  <si>
    <t>新鲜</t>
  </si>
  <si>
    <t>xīnxiān</t>
  </si>
  <si>
    <t>Tươi mới</t>
  </si>
  <si>
    <t>信用卡</t>
  </si>
  <si>
    <t>xìnyòngkǎ</t>
  </si>
  <si>
    <t>Thẻ tín dụng</t>
  </si>
  <si>
    <t>行</t>
  </si>
  <si>
    <t>xíng</t>
  </si>
  <si>
    <t>Được, đi</t>
  </si>
  <si>
    <t>行李</t>
  </si>
  <si>
    <t>xíngli</t>
  </si>
  <si>
    <t>Hành lý</t>
  </si>
  <si>
    <t>兴趣</t>
  </si>
  <si>
    <t>xìngqù</t>
  </si>
  <si>
    <t>Hứng thú</t>
  </si>
  <si>
    <t>休假</t>
  </si>
  <si>
    <t>xiūjià</t>
  </si>
  <si>
    <t>Nghỉ phép</t>
  </si>
  <si>
    <t>需要</t>
  </si>
  <si>
    <t>xūyào</t>
  </si>
  <si>
    <t>Cần, nhu cầu</t>
  </si>
  <si>
    <t>选</t>
  </si>
  <si>
    <t>xuǎn</t>
  </si>
  <si>
    <t>Chọn</t>
  </si>
  <si>
    <t>选择</t>
  </si>
  <si>
    <t>xuǎnzé</t>
  </si>
  <si>
    <t>Lựa chọn</t>
  </si>
  <si>
    <t>学期</t>
  </si>
  <si>
    <t>xuéqī</t>
  </si>
  <si>
    <t>Học kỳ</t>
  </si>
  <si>
    <t>羊</t>
  </si>
  <si>
    <t>yáng</t>
  </si>
  <si>
    <t>Con dê</t>
  </si>
  <si>
    <t>养</t>
  </si>
  <si>
    <t>yǎng</t>
  </si>
  <si>
    <t>Nuôi</t>
  </si>
  <si>
    <t>要求</t>
  </si>
  <si>
    <t>yāoqiú</t>
  </si>
  <si>
    <t>Yêu cầu</t>
  </si>
  <si>
    <t>野生</t>
  </si>
  <si>
    <t>yěshēng</t>
  </si>
  <si>
    <t>Hoang dã</t>
  </si>
  <si>
    <t>叶子</t>
  </si>
  <si>
    <t>yèzi</t>
  </si>
  <si>
    <t>Lá cây</t>
  </si>
  <si>
    <t>页</t>
  </si>
  <si>
    <t>yè</t>
  </si>
  <si>
    <t>Trang (sách)</t>
  </si>
  <si>
    <t>一定</t>
  </si>
  <si>
    <t>yídìng</t>
  </si>
  <si>
    <t>Nhất định</t>
  </si>
  <si>
    <t>一共</t>
  </si>
  <si>
    <t>yígòng</t>
  </si>
  <si>
    <t>Tổng cộng</t>
  </si>
  <si>
    <t>Một lát</t>
  </si>
  <si>
    <t>一块儿</t>
  </si>
  <si>
    <t>Danh từ, Phó từ</t>
  </si>
  <si>
    <t>yíkuàir</t>
  </si>
  <si>
    <t>Cùng nhau</t>
  </si>
  <si>
    <t>一样</t>
  </si>
  <si>
    <t>yíyàng</t>
  </si>
  <si>
    <t>Giống nhau</t>
  </si>
  <si>
    <t>以后</t>
  </si>
  <si>
    <t>yǐhòu</t>
  </si>
  <si>
    <t>Sau này</t>
  </si>
  <si>
    <t>以前</t>
  </si>
  <si>
    <t>yǐqián</t>
  </si>
  <si>
    <t>Trước đây</t>
  </si>
  <si>
    <t>以上</t>
  </si>
  <si>
    <t>yǐshàng</t>
  </si>
  <si>
    <t>Trở lên</t>
  </si>
  <si>
    <t>以外</t>
  </si>
  <si>
    <t>yǐwài</t>
  </si>
  <si>
    <t>Ngoài ra</t>
  </si>
  <si>
    <t>以为</t>
  </si>
  <si>
    <t>yǐwéi</t>
  </si>
  <si>
    <t>Cho rằng</t>
  </si>
  <si>
    <t>一般</t>
  </si>
  <si>
    <t>yìbān</t>
  </si>
  <si>
    <t>Thông thường</t>
  </si>
  <si>
    <t>一边</t>
  </si>
  <si>
    <t>yìbiān</t>
  </si>
  <si>
    <t>Một bên / Vừa... vừa...</t>
  </si>
  <si>
    <t>一直</t>
  </si>
  <si>
    <t>yìzhí</t>
  </si>
  <si>
    <t>Luôn luôn, thẳng</t>
  </si>
  <si>
    <t>音乐</t>
  </si>
  <si>
    <t>yīnyuè</t>
  </si>
  <si>
    <t>Âm nhạc</t>
  </si>
  <si>
    <t>银行</t>
  </si>
  <si>
    <t>yínháng</t>
  </si>
  <si>
    <t>Ngân hàng</t>
  </si>
  <si>
    <t>饮料</t>
  </si>
  <si>
    <t>yǐnliào</t>
  </si>
  <si>
    <t>Đồ uống</t>
  </si>
  <si>
    <t>应该</t>
  </si>
  <si>
    <t>yīnggāi</t>
  </si>
  <si>
    <t>Nên</t>
  </si>
  <si>
    <t>影响</t>
  </si>
  <si>
    <t>yǐngxiǎng</t>
  </si>
  <si>
    <t>Ảnh hưởng</t>
  </si>
  <si>
    <t>用</t>
  </si>
  <si>
    <t>yòng</t>
  </si>
  <si>
    <t>Dùng, sử dụng</t>
  </si>
  <si>
    <t>邮件</t>
  </si>
  <si>
    <t>yóujiàn</t>
  </si>
  <si>
    <t>Email, thư điện tử</t>
  </si>
  <si>
    <t>邮箱</t>
  </si>
  <si>
    <t>yóuxiāng</t>
  </si>
  <si>
    <t>Hộp thư</t>
  </si>
  <si>
    <t>游客</t>
  </si>
  <si>
    <t>yóukè</t>
  </si>
  <si>
    <t>Khách du lịch</t>
  </si>
  <si>
    <t>游戏</t>
  </si>
  <si>
    <t>yóuxì</t>
  </si>
  <si>
    <t>Trò chơi</t>
  </si>
  <si>
    <t>有关</t>
  </si>
  <si>
    <t>yǒuguān</t>
  </si>
  <si>
    <t>Liên quan</t>
  </si>
  <si>
    <t>有名</t>
  </si>
  <si>
    <t>yǒumíng</t>
  </si>
  <si>
    <t>Nổi tiếng</t>
  </si>
  <si>
    <t>Một vài</t>
  </si>
  <si>
    <t>有用</t>
  </si>
  <si>
    <t>yǒuyòng</t>
  </si>
  <si>
    <t>Hữu ích</t>
  </si>
  <si>
    <t>又</t>
  </si>
  <si>
    <t>Lại</t>
  </si>
  <si>
    <t>羽毛球</t>
  </si>
  <si>
    <t>yǔmáoqiú</t>
  </si>
  <si>
    <t>Cầu lông</t>
  </si>
  <si>
    <t>7. Địa điểm &amp; Nơi chốn, 2. Cơ thể &amp; Sức khỏe</t>
  </si>
  <si>
    <t>雨衣</t>
  </si>
  <si>
    <t>yǔyī</t>
  </si>
  <si>
    <t>Áo mưa</t>
  </si>
  <si>
    <t>遇到</t>
  </si>
  <si>
    <t>yùdào</t>
  </si>
  <si>
    <t>Gặp phải</t>
  </si>
  <si>
    <t>遇见</t>
  </si>
  <si>
    <t>yùjiàn</t>
  </si>
  <si>
    <t>Gặp gỡ</t>
  </si>
  <si>
    <t>员</t>
  </si>
  <si>
    <t>Viên (nhân viên)</t>
  </si>
  <si>
    <t>愿意</t>
  </si>
  <si>
    <t>yuànyì</t>
  </si>
  <si>
    <t>Tình nguyện, muốn</t>
  </si>
  <si>
    <t>月亮</t>
  </si>
  <si>
    <t>yuèliàng</t>
  </si>
  <si>
    <t>Mặt trăng</t>
  </si>
  <si>
    <t>越</t>
  </si>
  <si>
    <t>Càng</t>
  </si>
  <si>
    <t>运动会</t>
  </si>
  <si>
    <t>yùndònghuì</t>
  </si>
  <si>
    <t>Đại hội thể thao</t>
  </si>
  <si>
    <t>运动员</t>
  </si>
  <si>
    <t>yùndòngyuán</t>
  </si>
  <si>
    <t>Vận động viên</t>
  </si>
  <si>
    <t>咱们</t>
  </si>
  <si>
    <t>zánmen</t>
  </si>
  <si>
    <t>Chúng ta</t>
  </si>
  <si>
    <t>脏</t>
  </si>
  <si>
    <t>zāng</t>
  </si>
  <si>
    <t>Bẩn</t>
  </si>
  <si>
    <t>怎么办</t>
  </si>
  <si>
    <t>zěnme bàn</t>
  </si>
  <si>
    <t>Làm thế nào</t>
  </si>
  <si>
    <t>怎样</t>
  </si>
  <si>
    <t>zěnyàng</t>
  </si>
  <si>
    <t>Như thế nào</t>
  </si>
  <si>
    <t>Đứng / Ga</t>
  </si>
  <si>
    <t>2, 16</t>
  </si>
  <si>
    <t>张</t>
  </si>
  <si>
    <t>zhāng</t>
  </si>
  <si>
    <t>Trương (họ) / Tấm (lượng từ)</t>
  </si>
  <si>
    <t>zhǎng</t>
  </si>
  <si>
    <t>Lớn lên / Trưởng</t>
  </si>
  <si>
    <t>着急</t>
  </si>
  <si>
    <t>zháojí</t>
  </si>
  <si>
    <t>Lo lắng</t>
  </si>
  <si>
    <t>照</t>
  </si>
  <si>
    <t>zhào</t>
  </si>
  <si>
    <t>Chiếu / Chụp (ảnh)</t>
  </si>
  <si>
    <t>照顾</t>
  </si>
  <si>
    <t>zhàogù</t>
  </si>
  <si>
    <t>Chăm sóc</t>
  </si>
  <si>
    <t>照片</t>
  </si>
  <si>
    <t>zhàopiàn</t>
  </si>
  <si>
    <t>Bức ảnh</t>
  </si>
  <si>
    <t>照相</t>
  </si>
  <si>
    <t>zhàoxiàng</t>
  </si>
  <si>
    <t>真正</t>
  </si>
  <si>
    <t>zhēnzhèng</t>
  </si>
  <si>
    <t>Chân chính, thực sự</t>
  </si>
  <si>
    <t>直到</t>
  </si>
  <si>
    <t>zhídào</t>
  </si>
  <si>
    <t>Cho đến khi</t>
  </si>
  <si>
    <t>zhǐ</t>
  </si>
  <si>
    <t>Chỉ</t>
  </si>
  <si>
    <t>只能</t>
  </si>
  <si>
    <t>zhǐ néng</t>
  </si>
  <si>
    <t>Chỉ có thể</t>
  </si>
  <si>
    <t>只是</t>
  </si>
  <si>
    <t>zhǐshì</t>
  </si>
  <si>
    <t>Chỉ là</t>
  </si>
  <si>
    <t>只要</t>
  </si>
  <si>
    <t>zhǐyào</t>
  </si>
  <si>
    <t>Chỉ cần</t>
  </si>
  <si>
    <t>只有</t>
  </si>
  <si>
    <t>zhǐyǒu</t>
  </si>
  <si>
    <t>Chỉ có</t>
  </si>
  <si>
    <t>纸</t>
  </si>
  <si>
    <t>Giấy</t>
  </si>
  <si>
    <t>中间</t>
  </si>
  <si>
    <t>zhōngjiān</t>
  </si>
  <si>
    <t>Ở giữa</t>
  </si>
  <si>
    <t>终于</t>
  </si>
  <si>
    <t>zhōngyú</t>
  </si>
  <si>
    <t>Cuối cùng</t>
  </si>
  <si>
    <t>种</t>
  </si>
  <si>
    <t>zhǒng</t>
  </si>
  <si>
    <t>Loại, hạt</t>
  </si>
  <si>
    <t>重要</t>
  </si>
  <si>
    <t>zhòngyào</t>
  </si>
  <si>
    <t>Quan trọng</t>
  </si>
  <si>
    <t>周末</t>
  </si>
  <si>
    <t>zhōumò</t>
  </si>
  <si>
    <t>Cuối tuần</t>
  </si>
  <si>
    <t>竹子</t>
  </si>
  <si>
    <t>zhúzi</t>
  </si>
  <si>
    <t>Tre</t>
  </si>
  <si>
    <t>主要</t>
  </si>
  <si>
    <t>zhǔyào</t>
  </si>
  <si>
    <t>Chủ yếu</t>
  </si>
  <si>
    <t>主意</t>
  </si>
  <si>
    <t>zhǔyi</t>
  </si>
  <si>
    <t>Ý kiến, chủ ý</t>
  </si>
  <si>
    <t>住院</t>
  </si>
  <si>
    <t>zhùyuàn</t>
  </si>
  <si>
    <t>Nhập viện</t>
  </si>
  <si>
    <t>注意</t>
  </si>
  <si>
    <t>zhùyì</t>
  </si>
  <si>
    <t>Chú ý</t>
  </si>
  <si>
    <t>自行车</t>
  </si>
  <si>
    <t>zìxíngchē</t>
  </si>
  <si>
    <t>Xe đạp</t>
  </si>
  <si>
    <t>总</t>
  </si>
  <si>
    <t>zǒng</t>
  </si>
  <si>
    <t>Luôn / Tổng cộng</t>
  </si>
  <si>
    <t>总是</t>
  </si>
  <si>
    <t>zǒngshì</t>
  </si>
  <si>
    <t>Luôn luôn</t>
  </si>
  <si>
    <t>嘴</t>
  </si>
  <si>
    <t>zuǐ</t>
  </si>
  <si>
    <t>Miệng</t>
  </si>
  <si>
    <t>最好</t>
  </si>
  <si>
    <t>zuìhǎo</t>
  </si>
  <si>
    <t>Tốt nhất</t>
  </si>
  <si>
    <t>最后</t>
  </si>
  <si>
    <t>zuìhòu</t>
  </si>
  <si>
    <t>最近</t>
  </si>
  <si>
    <t>zuìjìn</t>
  </si>
  <si>
    <t>Gần đây</t>
  </si>
  <si>
    <t>作业</t>
  </si>
  <si>
    <t>zuòyè</t>
  </si>
  <si>
    <t>Bài tập</t>
  </si>
  <si>
    <t>做法</t>
  </si>
  <si>
    <t>zuòfǎ</t>
  </si>
  <si>
    <t>Cách làm</t>
  </si>
  <si>
    <t>做客</t>
  </si>
  <si>
    <t>zuòkè</t>
  </si>
  <si>
    <t>Làm khách</t>
  </si>
  <si>
    <t>àiqíng</t>
  </si>
  <si>
    <t>爱心</t>
  </si>
  <si>
    <t>àixīn</t>
  </si>
  <si>
    <t>按</t>
  </si>
  <si>
    <t>àn</t>
  </si>
  <si>
    <t>安检</t>
  </si>
  <si>
    <t>ānjiǎn</t>
  </si>
  <si>
    <t>安排</t>
  </si>
  <si>
    <t>ānpái</t>
  </si>
  <si>
    <t>按时</t>
  </si>
  <si>
    <t>ànshí</t>
  </si>
  <si>
    <t>按照</t>
  </si>
  <si>
    <t>ànzhào</t>
  </si>
  <si>
    <t>白酒</t>
  </si>
  <si>
    <t>báijiǔ</t>
  </si>
  <si>
    <t>棒</t>
  </si>
  <si>
    <t>bàng</t>
  </si>
  <si>
    <t>办公</t>
  </si>
  <si>
    <t>bàngōng</t>
  </si>
  <si>
    <t>办理</t>
  </si>
  <si>
    <t>bànlǐ</t>
  </si>
  <si>
    <t>办事</t>
  </si>
  <si>
    <t>bànshì</t>
  </si>
  <si>
    <t>抱</t>
  </si>
  <si>
    <t>bào</t>
  </si>
  <si>
    <t>保护</t>
  </si>
  <si>
    <t>bǎohù</t>
  </si>
  <si>
    <t>报考</t>
  </si>
  <si>
    <t>bàokǎo</t>
  </si>
  <si>
    <t>bàomíng</t>
  </si>
  <si>
    <t>抱歉</t>
  </si>
  <si>
    <t>bàoqiàn</t>
  </si>
  <si>
    <t>保证</t>
  </si>
  <si>
    <t>bǎozhèng</t>
  </si>
  <si>
    <t>倍</t>
  </si>
  <si>
    <t>背</t>
  </si>
  <si>
    <t>背包</t>
  </si>
  <si>
    <t>bēibāo</t>
  </si>
  <si>
    <t>北部</t>
  </si>
  <si>
    <t>běibù</t>
  </si>
  <si>
    <t>笨</t>
  </si>
  <si>
    <t>bèn</t>
  </si>
  <si>
    <t>本科</t>
  </si>
  <si>
    <t>běnkē</t>
  </si>
  <si>
    <t>本来</t>
  </si>
  <si>
    <t>běnlái</t>
  </si>
  <si>
    <t>便于</t>
  </si>
  <si>
    <t>biànyú</t>
  </si>
  <si>
    <t>biǎo</t>
  </si>
  <si>
    <t>表格</t>
  </si>
  <si>
    <t>biǎogé</t>
  </si>
  <si>
    <t>biǎoshì</t>
  </si>
  <si>
    <t>表现</t>
  </si>
  <si>
    <t>biǎoxiàn</t>
  </si>
  <si>
    <t>表扬</t>
  </si>
  <si>
    <t>biǎoyáng</t>
  </si>
  <si>
    <t>标准</t>
  </si>
  <si>
    <t>biāozhǔn</t>
  </si>
  <si>
    <t>并</t>
  </si>
  <si>
    <t>饼干</t>
  </si>
  <si>
    <t>bǐnggān</t>
  </si>
  <si>
    <t>并且</t>
  </si>
  <si>
    <t>bìngqiě</t>
  </si>
  <si>
    <t>笔试</t>
  </si>
  <si>
    <t>bǐshì</t>
  </si>
  <si>
    <t>毕业</t>
  </si>
  <si>
    <t>bìyè</t>
  </si>
  <si>
    <t>毕业生</t>
  </si>
  <si>
    <t>bìyèshēng</t>
  </si>
  <si>
    <t>鼻子</t>
  </si>
  <si>
    <t>bízi</t>
  </si>
  <si>
    <t>播放</t>
  </si>
  <si>
    <t>bōfàng</t>
  </si>
  <si>
    <t>博士</t>
  </si>
  <si>
    <t>bóshì</t>
  </si>
  <si>
    <t>步</t>
  </si>
  <si>
    <t>部</t>
  </si>
  <si>
    <t>不必</t>
  </si>
  <si>
    <t>búbì</t>
  </si>
  <si>
    <t>不便</t>
  </si>
  <si>
    <t>búbiàn</t>
  </si>
  <si>
    <t>不得不</t>
  </si>
  <si>
    <t>bùdébù</t>
  </si>
  <si>
    <t>不断</t>
  </si>
  <si>
    <t>búduàn</t>
  </si>
  <si>
    <t>bùfen</t>
  </si>
  <si>
    <t>búgòu</t>
  </si>
  <si>
    <t>不管</t>
  </si>
  <si>
    <t>bùguǎn</t>
  </si>
  <si>
    <t>不光</t>
  </si>
  <si>
    <t>bùguāng</t>
  </si>
  <si>
    <t>búguò</t>
  </si>
  <si>
    <t>不仅</t>
  </si>
  <si>
    <t>bùjǐn</t>
  </si>
  <si>
    <t>不论</t>
  </si>
  <si>
    <t>búlùn</t>
  </si>
  <si>
    <t>bùmǎn</t>
  </si>
  <si>
    <t>部门</t>
  </si>
  <si>
    <t>bùmén</t>
  </si>
  <si>
    <t>bùrú</t>
  </si>
  <si>
    <t>擦</t>
  </si>
  <si>
    <t>cā</t>
  </si>
  <si>
    <t>猜</t>
  </si>
  <si>
    <t>cāi</t>
  </si>
  <si>
    <t>材料</t>
  </si>
  <si>
    <t>cáiliào</t>
  </si>
  <si>
    <t>cānguān</t>
  </si>
  <si>
    <t>参赛</t>
  </si>
  <si>
    <t>cānsài</t>
  </si>
  <si>
    <t>餐厅</t>
  </si>
  <si>
    <t>cāntīng</t>
  </si>
  <si>
    <t>操场</t>
  </si>
  <si>
    <t>cāochǎng</t>
  </si>
  <si>
    <t>厕所</t>
  </si>
  <si>
    <t>cèsuǒ</t>
  </si>
  <si>
    <t>查看</t>
  </si>
  <si>
    <t>chákàn</t>
  </si>
  <si>
    <t>厂</t>
  </si>
  <si>
    <t>chǎng</t>
  </si>
  <si>
    <t>产生</t>
  </si>
  <si>
    <t>chǎnshēng</t>
  </si>
  <si>
    <t>chāoguò</t>
  </si>
  <si>
    <t>茶叶</t>
  </si>
  <si>
    <t>cháyè</t>
  </si>
  <si>
    <t>差(一)点儿</t>
  </si>
  <si>
    <t>chà(yì)diǎnr</t>
  </si>
  <si>
    <t>查找</t>
  </si>
  <si>
    <t>cházhǎo</t>
  </si>
  <si>
    <t>城</t>
  </si>
  <si>
    <t>chéng</t>
  </si>
  <si>
    <t>乘</t>
  </si>
  <si>
    <t>成功</t>
  </si>
  <si>
    <t>chénggōng</t>
  </si>
  <si>
    <t>乘客</t>
  </si>
  <si>
    <t>chéngkè</t>
  </si>
  <si>
    <t>诚实</t>
  </si>
  <si>
    <t>chéngshí</t>
  </si>
  <si>
    <t>chéngwéi</t>
  </si>
  <si>
    <t>乘坐</t>
  </si>
  <si>
    <t>chéngzuò</t>
  </si>
  <si>
    <t>车速</t>
  </si>
  <si>
    <t>chēsù</t>
  </si>
  <si>
    <t>车位</t>
  </si>
  <si>
    <t>chēwèi</t>
  </si>
  <si>
    <t>迟</t>
  </si>
  <si>
    <t>chí</t>
  </si>
  <si>
    <t>吃惊</t>
  </si>
  <si>
    <t>chījīng</t>
  </si>
  <si>
    <t>重</t>
  </si>
  <si>
    <t>chóng</t>
  </si>
  <si>
    <t>chóngxīn</t>
  </si>
  <si>
    <t>窗</t>
  </si>
  <si>
    <t>chuāng</t>
  </si>
  <si>
    <t>窗户</t>
  </si>
  <si>
    <t>chuānghu</t>
  </si>
  <si>
    <t>出差</t>
  </si>
  <si>
    <t>chūchāi</t>
  </si>
  <si>
    <t>厨房</t>
  </si>
  <si>
    <t>chúfáng</t>
  </si>
  <si>
    <t>chuī</t>
  </si>
  <si>
    <t>出口</t>
  </si>
  <si>
    <t>chūkǒu</t>
  </si>
  <si>
    <t>厨师</t>
  </si>
  <si>
    <t>chúshī</t>
  </si>
  <si>
    <t>chūxiàn</t>
  </si>
  <si>
    <t>出行</t>
  </si>
  <si>
    <t>chūxíng</t>
  </si>
  <si>
    <t>chūzū</t>
  </si>
  <si>
    <t>此</t>
  </si>
  <si>
    <t>cǐ</t>
  </si>
  <si>
    <t>此次</t>
  </si>
  <si>
    <t>cǐcì</t>
  </si>
  <si>
    <t>此外</t>
  </si>
  <si>
    <t>cǐwài</t>
  </si>
  <si>
    <t>cíyǔ</t>
  </si>
  <si>
    <t>从此</t>
  </si>
  <si>
    <t>cóngcǐ</t>
  </si>
  <si>
    <t>从来</t>
  </si>
  <si>
    <t>cónglái</t>
  </si>
  <si>
    <t>从中</t>
  </si>
  <si>
    <t>cóngzhōng</t>
  </si>
  <si>
    <t>粗</t>
  </si>
  <si>
    <t>cū</t>
  </si>
  <si>
    <t>存</t>
  </si>
  <si>
    <t>cún</t>
  </si>
  <si>
    <t>村</t>
  </si>
  <si>
    <t>cūn</t>
  </si>
  <si>
    <t>错过</t>
  </si>
  <si>
    <t>cuòguò</t>
  </si>
  <si>
    <t>错误</t>
  </si>
  <si>
    <t>cuòwù</t>
  </si>
  <si>
    <t>粗心</t>
  </si>
  <si>
    <t>cūxīn</t>
  </si>
  <si>
    <t>答</t>
  </si>
  <si>
    <t>dá</t>
  </si>
  <si>
    <t>打招呼</t>
  </si>
  <si>
    <t>dǎ zhāohu</t>
  </si>
  <si>
    <t>答案</t>
  </si>
  <si>
    <t>dá'àn</t>
  </si>
  <si>
    <t>大巴</t>
  </si>
  <si>
    <t>dàbā</t>
  </si>
  <si>
    <t>打败</t>
  </si>
  <si>
    <t>dǎbài</t>
  </si>
  <si>
    <t>dàdà</t>
  </si>
  <si>
    <t>达到</t>
  </si>
  <si>
    <t>dádào</t>
  </si>
  <si>
    <t>dǎgōng</t>
  </si>
  <si>
    <t>戴</t>
  </si>
  <si>
    <t>待</t>
  </si>
  <si>
    <t>dāi</t>
  </si>
  <si>
    <t>大夫</t>
  </si>
  <si>
    <t>dàifu</t>
  </si>
  <si>
    <t>袋子</t>
  </si>
  <si>
    <t>dàizi</t>
  </si>
  <si>
    <t>dàliàng</t>
  </si>
  <si>
    <t>dāng</t>
  </si>
  <si>
    <t>dāngshí</t>
  </si>
  <si>
    <t>dānwèi</t>
  </si>
  <si>
    <t>刀</t>
  </si>
  <si>
    <t>dāo</t>
  </si>
  <si>
    <t>到底</t>
  </si>
  <si>
    <t>dàodǐ</t>
  </si>
  <si>
    <t>到来</t>
  </si>
  <si>
    <t>dàolái</t>
  </si>
  <si>
    <t>dàolù</t>
  </si>
  <si>
    <t>道歉</t>
  </si>
  <si>
    <t>dàoqiàn</t>
  </si>
  <si>
    <t>导游</t>
  </si>
  <si>
    <t>dǎoyóu</t>
  </si>
  <si>
    <t>打扰</t>
  </si>
  <si>
    <t>dǎrǎo</t>
  </si>
  <si>
    <t>大赛</t>
  </si>
  <si>
    <t>dàsài</t>
  </si>
  <si>
    <t>大厅</t>
  </si>
  <si>
    <t>dàtīng</t>
  </si>
  <si>
    <t>dǎyìn</t>
  </si>
  <si>
    <t>dāying</t>
  </si>
  <si>
    <t>打印机</t>
  </si>
  <si>
    <t>dǎyìnjī</t>
  </si>
  <si>
    <t>大约</t>
  </si>
  <si>
    <t>dàyuē</t>
  </si>
  <si>
    <t>打折</t>
  </si>
  <si>
    <t>dǎzhé</t>
  </si>
  <si>
    <t>打针</t>
  </si>
  <si>
    <t>dǎzhēn</t>
  </si>
  <si>
    <t>dàzìrán</t>
  </si>
  <si>
    <t>等2</t>
  </si>
  <si>
    <t>děngdào</t>
  </si>
  <si>
    <t>登机</t>
  </si>
  <si>
    <t>dēngjī</t>
  </si>
  <si>
    <t>得意</t>
  </si>
  <si>
    <t>déyì</t>
  </si>
  <si>
    <t>底</t>
  </si>
  <si>
    <t>dǐ</t>
  </si>
  <si>
    <t>电动车</t>
  </si>
  <si>
    <t>diàndòngchē</t>
  </si>
  <si>
    <t>点名</t>
  </si>
  <si>
    <t>diǎnmíng</t>
  </si>
  <si>
    <t>电视剧</t>
  </si>
  <si>
    <t>diànshìjù</t>
  </si>
  <si>
    <t>diǎntóu</t>
  </si>
  <si>
    <t>diào</t>
  </si>
  <si>
    <t>调查</t>
  </si>
  <si>
    <t>diàochá</t>
  </si>
  <si>
    <t>低价</t>
  </si>
  <si>
    <t>dījià</t>
  </si>
  <si>
    <t>订</t>
  </si>
  <si>
    <t>dìng</t>
  </si>
  <si>
    <t>定</t>
  </si>
  <si>
    <t>dìqiú</t>
  </si>
  <si>
    <t>低温</t>
  </si>
  <si>
    <t>dīwēn</t>
  </si>
  <si>
    <t>底下</t>
  </si>
  <si>
    <t>dǐxia</t>
  </si>
  <si>
    <t>低于</t>
  </si>
  <si>
    <t>dīyú</t>
  </si>
  <si>
    <t>地址</t>
  </si>
  <si>
    <t>dìzhǐ</t>
  </si>
  <si>
    <t>东部</t>
  </si>
  <si>
    <t>dōngbù</t>
  </si>
  <si>
    <t>动车</t>
  </si>
  <si>
    <t>dòngchē</t>
  </si>
  <si>
    <t>动作</t>
  </si>
  <si>
    <t>dòngzuò</t>
  </si>
  <si>
    <t>duǎnxìn</t>
  </si>
  <si>
    <t>堵车</t>
  </si>
  <si>
    <t>dǔchē</t>
  </si>
  <si>
    <t>对方</t>
  </si>
  <si>
    <t>duìfāng</t>
  </si>
  <si>
    <t>duìmiàn</t>
  </si>
  <si>
    <t>对于</t>
  </si>
  <si>
    <t>duìyú</t>
  </si>
  <si>
    <t>队员</t>
  </si>
  <si>
    <t>duìyuán</t>
  </si>
  <si>
    <t>duìzhǎng</t>
  </si>
  <si>
    <t>度假</t>
  </si>
  <si>
    <t>dùjià</t>
  </si>
  <si>
    <t>顿</t>
  </si>
  <si>
    <t>dùn</t>
  </si>
  <si>
    <t>duōme</t>
  </si>
  <si>
    <t>duōshù</t>
  </si>
  <si>
    <t>多样</t>
  </si>
  <si>
    <t>duōyàng</t>
  </si>
  <si>
    <t>读者</t>
  </si>
  <si>
    <t>dúzhě</t>
  </si>
  <si>
    <t>肚子</t>
  </si>
  <si>
    <t>dǔzi</t>
  </si>
  <si>
    <t>而</t>
  </si>
  <si>
    <t>ér</t>
  </si>
  <si>
    <t>儿童</t>
  </si>
  <si>
    <t>értóng</t>
  </si>
  <si>
    <t>法</t>
  </si>
  <si>
    <t>fǎ</t>
  </si>
  <si>
    <t>发出</t>
  </si>
  <si>
    <t>fāchū</t>
  </si>
  <si>
    <t>法律</t>
  </si>
  <si>
    <t>fǎlǜ</t>
  </si>
  <si>
    <t>烦</t>
  </si>
  <si>
    <t>fán</t>
  </si>
  <si>
    <t>反对</t>
  </si>
  <si>
    <t>fǎnduì</t>
  </si>
  <si>
    <t>房东</t>
  </si>
  <si>
    <t>fángdōng</t>
  </si>
  <si>
    <t>fāngmiàn</t>
  </si>
  <si>
    <t>放弃</t>
  </si>
  <si>
    <t>fàngqì</t>
  </si>
  <si>
    <t>方式</t>
  </si>
  <si>
    <t>fāngshì</t>
  </si>
  <si>
    <t>放松</t>
  </si>
  <si>
    <t>fàngsōng</t>
  </si>
  <si>
    <t>房租</t>
  </si>
  <si>
    <t>fángzū</t>
  </si>
  <si>
    <t>烦恼</t>
  </si>
  <si>
    <t>fánnǎo</t>
  </si>
  <si>
    <t>翻译</t>
  </si>
  <si>
    <t>fānyì</t>
  </si>
  <si>
    <t>发送</t>
  </si>
  <si>
    <t>fāsòng</t>
  </si>
  <si>
    <t>费</t>
  </si>
  <si>
    <t>fèi</t>
  </si>
  <si>
    <t>费用</t>
  </si>
  <si>
    <t>fèiyong</t>
  </si>
  <si>
    <t>fèn</t>
  </si>
  <si>
    <t>丰富</t>
  </si>
  <si>
    <t>fēngfù</t>
  </si>
  <si>
    <t>风景</t>
  </si>
  <si>
    <t>fēngjǐng</t>
  </si>
  <si>
    <t>fēnshù</t>
  </si>
  <si>
    <t>分为</t>
  </si>
  <si>
    <t>fēnwéi</t>
  </si>
  <si>
    <t>否则</t>
  </si>
  <si>
    <t>fǒuzé</t>
  </si>
  <si>
    <t>幅</t>
  </si>
  <si>
    <t>fú</t>
  </si>
  <si>
    <t>付</t>
  </si>
  <si>
    <t>fù</t>
  </si>
  <si>
    <t>符合</t>
  </si>
  <si>
    <t>fúhé</t>
  </si>
  <si>
    <t>父母</t>
  </si>
  <si>
    <t>fùmǔ</t>
  </si>
  <si>
    <t>父女</t>
  </si>
  <si>
    <t>fùnǚ</t>
  </si>
  <si>
    <t>父亲</t>
  </si>
  <si>
    <t>fùqīn</t>
  </si>
  <si>
    <t>复印</t>
  </si>
  <si>
    <t>fùyìn</t>
  </si>
  <si>
    <t>复杂</t>
  </si>
  <si>
    <t>fùzá</t>
  </si>
  <si>
    <t>负责</t>
  </si>
  <si>
    <t>fùzé</t>
  </si>
  <si>
    <t>负责人</t>
  </si>
  <si>
    <t>fùzérén</t>
  </si>
  <si>
    <t>父子</t>
  </si>
  <si>
    <t>fùzǐ</t>
  </si>
  <si>
    <t>gǎi</t>
  </si>
  <si>
    <t>gǎibiàn</t>
  </si>
  <si>
    <t>赶</t>
  </si>
  <si>
    <t>gǎn</t>
  </si>
  <si>
    <t>敢</t>
  </si>
  <si>
    <t>感</t>
  </si>
  <si>
    <t>gān</t>
  </si>
  <si>
    <t>gānbēi</t>
  </si>
  <si>
    <t>gǎndòng</t>
  </si>
  <si>
    <t>钢琴</t>
  </si>
  <si>
    <t>gāngqín</t>
  </si>
  <si>
    <t>gànhuór</t>
  </si>
  <si>
    <t>赶紧</t>
  </si>
  <si>
    <t>gǎnjǐn</t>
  </si>
  <si>
    <t>gǎnjué</t>
  </si>
  <si>
    <t>赶快</t>
  </si>
  <si>
    <t>gǎnkuài</t>
  </si>
  <si>
    <t>感情</t>
  </si>
  <si>
    <t>gǎnqíng</t>
  </si>
  <si>
    <t>感人</t>
  </si>
  <si>
    <t>gǎnrén</t>
  </si>
  <si>
    <t>赶上</t>
  </si>
  <si>
    <t>gǎnshàng</t>
  </si>
  <si>
    <t>感受</t>
  </si>
  <si>
    <t>gǎnshòu</t>
  </si>
  <si>
    <t>gǎnxiè</t>
  </si>
  <si>
    <t>高价</t>
  </si>
  <si>
    <t>gāojià</t>
  </si>
  <si>
    <t>高考</t>
  </si>
  <si>
    <t>gāokǎo</t>
  </si>
  <si>
    <t>高速</t>
  </si>
  <si>
    <t>gāosù</t>
  </si>
  <si>
    <t>高温</t>
  </si>
  <si>
    <t>gāowēn</t>
  </si>
  <si>
    <t>高于</t>
  </si>
  <si>
    <t>gāoyú</t>
  </si>
  <si>
    <t>各</t>
  </si>
  <si>
    <t>胳膊</t>
  </si>
  <si>
    <t>gēbo</t>
  </si>
  <si>
    <t>各地</t>
  </si>
  <si>
    <t>gèdì</t>
  </si>
  <si>
    <t>各个</t>
  </si>
  <si>
    <t>gègè</t>
  </si>
  <si>
    <t>更加</t>
  </si>
  <si>
    <t>gèngjiā</t>
  </si>
  <si>
    <t>歌声</t>
  </si>
  <si>
    <t>gēshēng</t>
  </si>
  <si>
    <t>歌手</t>
  </si>
  <si>
    <t>gēshǒu</t>
  </si>
  <si>
    <t>各位</t>
  </si>
  <si>
    <t>gèwèi</t>
  </si>
  <si>
    <t>各种</t>
  </si>
  <si>
    <t>gèzhǒng</t>
  </si>
  <si>
    <t>共</t>
  </si>
  <si>
    <t>gòng</t>
  </si>
  <si>
    <t>工厂</t>
  </si>
  <si>
    <t>gōngchǎng</t>
  </si>
  <si>
    <t>功夫</t>
  </si>
  <si>
    <t>gōngfu</t>
  </si>
  <si>
    <t>公共</t>
  </si>
  <si>
    <t>gōnggòng</t>
  </si>
  <si>
    <t>功课</t>
  </si>
  <si>
    <t>gōngkè</t>
  </si>
  <si>
    <t>gōnglǐ</t>
  </si>
  <si>
    <t>gōnglù</t>
  </si>
  <si>
    <t>工人</t>
  </si>
  <si>
    <t>gōngrén</t>
  </si>
  <si>
    <t>共同</t>
  </si>
  <si>
    <t>gòngtóng</t>
  </si>
  <si>
    <t>工资</t>
  </si>
  <si>
    <t>gōngzī</t>
  </si>
  <si>
    <t>gòu</t>
  </si>
  <si>
    <t>购买</t>
  </si>
  <si>
    <t>gòumǎi</t>
  </si>
  <si>
    <t>购物</t>
  </si>
  <si>
    <t>gòuwù</t>
  </si>
  <si>
    <t>挂</t>
  </si>
  <si>
    <t>guà</t>
  </si>
  <si>
    <t>管</t>
  </si>
  <si>
    <t>guǎn</t>
  </si>
  <si>
    <t>逛</t>
  </si>
  <si>
    <t>guàng</t>
  </si>
  <si>
    <t>光</t>
  </si>
  <si>
    <t>guāng</t>
  </si>
  <si>
    <t>广播</t>
  </si>
  <si>
    <t>guǎngbō</t>
  </si>
  <si>
    <t>guǎnggào</t>
  </si>
  <si>
    <t>关键</t>
  </si>
  <si>
    <t>guānjiàn</t>
  </si>
  <si>
    <t>观看</t>
  </si>
  <si>
    <t>guānkàn</t>
  </si>
  <si>
    <t>管理</t>
  </si>
  <si>
    <t>guǎnlǐ</t>
  </si>
  <si>
    <t>观众</t>
  </si>
  <si>
    <t>guānzhòng</t>
  </si>
  <si>
    <t>规定</t>
  </si>
  <si>
    <t>guīdìng</t>
  </si>
  <si>
    <t>估计</t>
  </si>
  <si>
    <t>gūjì</t>
  </si>
  <si>
    <t>gùkè</t>
  </si>
  <si>
    <t>鼓励</t>
  </si>
  <si>
    <t>gǔlì</t>
  </si>
  <si>
    <t>姑娘</t>
  </si>
  <si>
    <t>gūniang</t>
  </si>
  <si>
    <t>过程</t>
  </si>
  <si>
    <t>guòchéng</t>
  </si>
  <si>
    <t>国籍</t>
  </si>
  <si>
    <t>guójí</t>
  </si>
  <si>
    <t>guójì</t>
  </si>
  <si>
    <t>果汁</t>
  </si>
  <si>
    <t>guǒzhī</t>
  </si>
  <si>
    <t>gùyì</t>
  </si>
  <si>
    <t>害羞</t>
  </si>
  <si>
    <t>hàixiū</t>
  </si>
  <si>
    <t>海洋</t>
  </si>
  <si>
    <t>hǎiyáng</t>
  </si>
  <si>
    <t>汗</t>
  </si>
  <si>
    <t>hàn</t>
  </si>
  <si>
    <t>hǎn</t>
  </si>
  <si>
    <t>航班</t>
  </si>
  <si>
    <t>hángbān</t>
  </si>
  <si>
    <t>寒假</t>
  </si>
  <si>
    <t>hánjià</t>
  </si>
  <si>
    <t>寒冷</t>
  </si>
  <si>
    <t>hánlěng</t>
  </si>
  <si>
    <t>hǎochu</t>
  </si>
  <si>
    <t>好好</t>
  </si>
  <si>
    <t>hǎohāo</t>
  </si>
  <si>
    <t>好笑</t>
  </si>
  <si>
    <t>hǎoxiào</t>
  </si>
  <si>
    <t>合格</t>
  </si>
  <si>
    <t>hégé</t>
  </si>
  <si>
    <t>盒子</t>
  </si>
  <si>
    <t>hézi</t>
  </si>
  <si>
    <t>红包</t>
  </si>
  <si>
    <t>hóngbāo</t>
  </si>
  <si>
    <t>厚</t>
  </si>
  <si>
    <t>后悔</t>
  </si>
  <si>
    <t>hòuhuǐ</t>
  </si>
  <si>
    <t>huàichu</t>
  </si>
  <si>
    <t>怀疑</t>
  </si>
  <si>
    <t>huáiyí</t>
  </si>
  <si>
    <t>话剧</t>
  </si>
  <si>
    <t>huàjù</t>
  </si>
  <si>
    <t>环保</t>
  </si>
  <si>
    <t>huánbǎo</t>
  </si>
  <si>
    <t>换乘</t>
  </si>
  <si>
    <t>huànchéng</t>
  </si>
  <si>
    <t>回复</t>
  </si>
  <si>
    <t>huífù</t>
  </si>
  <si>
    <t>回信</t>
  </si>
  <si>
    <t>huíxìn</t>
  </si>
  <si>
    <t>回忆</t>
  </si>
  <si>
    <t>huíyì</t>
  </si>
  <si>
    <t>会员</t>
  </si>
  <si>
    <t>huìyuán</t>
  </si>
  <si>
    <t>互联网</t>
  </si>
  <si>
    <t>hùliánwǎng</t>
  </si>
  <si>
    <t>活</t>
  </si>
  <si>
    <t>huó</t>
  </si>
  <si>
    <t>货</t>
  </si>
  <si>
    <t>火</t>
  </si>
  <si>
    <t>huǒ</t>
  </si>
  <si>
    <t>获得</t>
  </si>
  <si>
    <t>huòdé</t>
  </si>
  <si>
    <t>huódòng</t>
  </si>
  <si>
    <t>获奖</t>
  </si>
  <si>
    <t>huòjiǎng</t>
  </si>
  <si>
    <t>活泼</t>
  </si>
  <si>
    <t>huópō</t>
  </si>
  <si>
    <t>获取</t>
  </si>
  <si>
    <t>huòqǔ</t>
  </si>
  <si>
    <t>忽然</t>
  </si>
  <si>
    <t>hūrán</t>
  </si>
  <si>
    <t>护士</t>
  </si>
  <si>
    <t>hùshi</t>
  </si>
  <si>
    <t>互相</t>
  </si>
  <si>
    <t>hùxiāng</t>
  </si>
  <si>
    <t>既</t>
  </si>
  <si>
    <t>寄</t>
  </si>
  <si>
    <t>jiǎ</t>
  </si>
  <si>
    <t>加班</t>
  </si>
  <si>
    <t>jiābān</t>
  </si>
  <si>
    <t>价格</t>
  </si>
  <si>
    <t>jiàgé</t>
  </si>
  <si>
    <t>家具</t>
  </si>
  <si>
    <t>jiājù</t>
  </si>
  <si>
    <t>加快</t>
  </si>
  <si>
    <t>jiākuài</t>
  </si>
  <si>
    <t>减</t>
  </si>
  <si>
    <t>jiǎn</t>
  </si>
  <si>
    <t>降</t>
  </si>
  <si>
    <t>jiàng</t>
  </si>
  <si>
    <t>奖</t>
  </si>
  <si>
    <t>江</t>
  </si>
  <si>
    <t>jiāng</t>
  </si>
  <si>
    <t>将</t>
  </si>
  <si>
    <t>降低</t>
  </si>
  <si>
    <t>jiàngdī</t>
  </si>
  <si>
    <t>降价</t>
  </si>
  <si>
    <t>jiàngjià</t>
  </si>
  <si>
    <t>奖金</t>
  </si>
  <si>
    <t>jiǎngjīn</t>
  </si>
  <si>
    <t>将来</t>
  </si>
  <si>
    <t>jiānglái</t>
  </si>
  <si>
    <t>降落</t>
  </si>
  <si>
    <t>jiàngluò</t>
  </si>
  <si>
    <t>降温</t>
  </si>
  <si>
    <t>jiàngwēn</t>
  </si>
  <si>
    <t>奖学金</t>
  </si>
  <si>
    <t>jiǎngxuéjīn</t>
  </si>
  <si>
    <t>将要</t>
  </si>
  <si>
    <t>jiāngyào</t>
  </si>
  <si>
    <t>减轻</t>
  </si>
  <si>
    <t>jiǎnqīng</t>
  </si>
  <si>
    <t>减少</t>
  </si>
  <si>
    <t>jiǎnshǎo</t>
  </si>
  <si>
    <t>健身</t>
  </si>
  <si>
    <t>jiànshēn</t>
  </si>
  <si>
    <t>健身房</t>
  </si>
  <si>
    <t>jiànshēnfáng</t>
  </si>
  <si>
    <t>建议</t>
  </si>
  <si>
    <t>jiànyì</t>
  </si>
  <si>
    <t>骄傲</t>
  </si>
  <si>
    <t>jiāo'ào</t>
  </si>
  <si>
    <t>交警</t>
  </si>
  <si>
    <t>jiāojǐng</t>
  </si>
  <si>
    <t>教练</t>
  </si>
  <si>
    <t>jiàoliàn</t>
  </si>
  <si>
    <t>交流</t>
  </si>
  <si>
    <t>jiāoliú</t>
  </si>
  <si>
    <t>郊区</t>
  </si>
  <si>
    <t>jiāoqū</t>
  </si>
  <si>
    <t>机构</t>
  </si>
  <si>
    <t>jīgòu</t>
  </si>
  <si>
    <t>机遇</t>
  </si>
  <si>
    <t>jīyù</t>
  </si>
  <si>
    <t>积累</t>
  </si>
  <si>
    <t>jīlěi</t>
  </si>
  <si>
    <t>激动</t>
  </si>
  <si>
    <t>jīdòng</t>
  </si>
  <si>
    <t>激烈</t>
  </si>
  <si>
    <t>jīliè</t>
  </si>
  <si>
    <t>及格</t>
  </si>
  <si>
    <t>jígé</t>
  </si>
  <si>
    <t>极其</t>
  </si>
  <si>
    <t>jíqí</t>
  </si>
  <si>
    <t>即将</t>
  </si>
  <si>
    <t>jíjiāng</t>
  </si>
  <si>
    <t>急忙</t>
  </si>
  <si>
    <t>jímáng</t>
  </si>
  <si>
    <t>集合</t>
  </si>
  <si>
    <t>jíhé</t>
  </si>
  <si>
    <t>记载</t>
  </si>
  <si>
    <t>jìzǎi</t>
  </si>
  <si>
    <t>纪律</t>
  </si>
  <si>
    <t>jìlǜ</t>
  </si>
  <si>
    <t>技巧</t>
  </si>
  <si>
    <t>jìqiǎo</t>
  </si>
  <si>
    <t>系</t>
  </si>
  <si>
    <t>xì</t>
  </si>
  <si>
    <t>季</t>
  </si>
  <si>
    <t>季度</t>
  </si>
  <si>
    <t>jìdù</t>
  </si>
  <si>
    <t>既然</t>
  </si>
  <si>
    <t>jìrán</t>
  </si>
  <si>
    <t>加入</t>
  </si>
  <si>
    <t>jiārù</t>
  </si>
  <si>
    <t>加油站</t>
  </si>
  <si>
    <t>jiāyóuzhàn</t>
  </si>
  <si>
    <t>家务</t>
  </si>
  <si>
    <t>jiāwù</t>
  </si>
  <si>
    <t>假如</t>
  </si>
  <si>
    <t>jiǎrú</t>
  </si>
  <si>
    <t>坚固</t>
  </si>
  <si>
    <t>jiāngù</t>
  </si>
  <si>
    <t>检测</t>
  </si>
  <si>
    <t>jiǎn cè</t>
  </si>
  <si>
    <t>减肥</t>
  </si>
  <si>
    <t>jiǎnféi</t>
  </si>
  <si>
    <t>简历</t>
  </si>
  <si>
    <t>jiǎnlì</t>
  </si>
  <si>
    <t>渐渐</t>
  </si>
  <si>
    <t>jiànjiàn</t>
  </si>
  <si>
    <t>讲究</t>
  </si>
  <si>
    <t>jiǎngjiu</t>
  </si>
  <si>
    <t>讲座</t>
  </si>
  <si>
    <t>jiǎngzuò</t>
  </si>
  <si>
    <t>交换</t>
  </si>
  <si>
    <t>jiāohuàn</t>
  </si>
  <si>
    <t>交际</t>
  </si>
  <si>
    <t>jiāojì</t>
  </si>
  <si>
    <t>教授</t>
  </si>
  <si>
    <t>jiàoshòu</t>
  </si>
  <si>
    <t>教训</t>
  </si>
  <si>
    <t>jiàoxùn</t>
  </si>
  <si>
    <t>阶段</t>
  </si>
  <si>
    <t>jiēduàn</t>
  </si>
  <si>
    <t>街道</t>
  </si>
  <si>
    <t>jiēdào</t>
  </si>
  <si>
    <t>节省</t>
  </si>
  <si>
    <t>jiéshěng</t>
  </si>
  <si>
    <t>结</t>
  </si>
  <si>
    <t>结构</t>
  </si>
  <si>
    <t>jiégòu</t>
  </si>
  <si>
    <t>结论</t>
  </si>
  <si>
    <t>jiélùn</t>
  </si>
  <si>
    <t>jiě mèi</t>
  </si>
  <si>
    <t>解释</t>
  </si>
  <si>
    <t>jiěshì</t>
  </si>
  <si>
    <t>尽快</t>
  </si>
  <si>
    <t>jǐnkuài</t>
  </si>
  <si>
    <t>紧密</t>
  </si>
  <si>
    <t>jǐn mì</t>
  </si>
  <si>
    <t>尽力</t>
  </si>
  <si>
    <t>jǐnlì</t>
  </si>
  <si>
    <t>进口</t>
  </si>
  <si>
    <t>jìnkǒu</t>
  </si>
  <si>
    <t>近代</t>
  </si>
  <si>
    <t>jìndài</t>
  </si>
  <si>
    <t>禁止</t>
  </si>
  <si>
    <t>jìnzhǐ</t>
  </si>
  <si>
    <t>经典</t>
  </si>
  <si>
    <t>jīngdiǎn</t>
  </si>
  <si>
    <t>精力</t>
  </si>
  <si>
    <t>jīnglì</t>
  </si>
  <si>
    <t>竟然</t>
  </si>
  <si>
    <t>jìngrán</t>
  </si>
  <si>
    <t>镜头</t>
  </si>
  <si>
    <t>jìngtóu</t>
  </si>
  <si>
    <t>镜子</t>
  </si>
  <si>
    <t>jìngzi</t>
  </si>
  <si>
    <t>究竟</t>
  </si>
  <si>
    <t>jiūjìng</t>
  </si>
  <si>
    <t>酒吧</t>
  </si>
  <si>
    <t>jiǔbā</t>
  </si>
  <si>
    <t>居民</t>
  </si>
  <si>
    <t>jūmín</t>
  </si>
  <si>
    <t>居住</t>
  </si>
  <si>
    <t>jūzhù</t>
  </si>
  <si>
    <t>局（名）</t>
  </si>
  <si>
    <t>jú</t>
  </si>
  <si>
    <t>巨大</t>
  </si>
  <si>
    <t>jùdà</t>
  </si>
  <si>
    <t>具备</t>
  </si>
  <si>
    <t>jùbèi</t>
  </si>
  <si>
    <t>距离</t>
  </si>
  <si>
    <t>jùlí</t>
  </si>
  <si>
    <t>聚</t>
  </si>
  <si>
    <t>聚会</t>
  </si>
  <si>
    <t>jùhuì</t>
  </si>
  <si>
    <t>卷</t>
  </si>
  <si>
    <t>juǎn</t>
  </si>
  <si>
    <t>juàn</t>
  </si>
  <si>
    <t>角色</t>
  </si>
  <si>
    <t>juésè</t>
  </si>
  <si>
    <t>kāi huā</t>
  </si>
  <si>
    <t>开水</t>
  </si>
  <si>
    <t>kāishuǐ</t>
  </si>
  <si>
    <t>看不起</t>
  </si>
  <si>
    <t>kànbuqǐ</t>
  </si>
  <si>
    <t>kàn lái</t>
  </si>
  <si>
    <t>看望</t>
  </si>
  <si>
    <t>kànwàng</t>
  </si>
  <si>
    <t>考察</t>
  </si>
  <si>
    <t>kǎochá</t>
  </si>
  <si>
    <t>考虑</t>
  </si>
  <si>
    <t>kǎolǜ</t>
  </si>
  <si>
    <t>咳</t>
  </si>
  <si>
    <t>kē</t>
  </si>
  <si>
    <t>可见</t>
  </si>
  <si>
    <t>kějiàn</t>
  </si>
  <si>
    <t>空间</t>
  </si>
  <si>
    <t>kōngjiān</t>
  </si>
  <si>
    <t>空</t>
  </si>
  <si>
    <t>kōng</t>
  </si>
  <si>
    <t>口袋</t>
  </si>
  <si>
    <t>kǒu dài</t>
  </si>
  <si>
    <t>口语</t>
  </si>
  <si>
    <t>kǒu yǔ</t>
  </si>
  <si>
    <t>苦</t>
  </si>
  <si>
    <t>kǔ</t>
  </si>
  <si>
    <t>会计</t>
  </si>
  <si>
    <t>kuàijì</t>
  </si>
  <si>
    <t>快递</t>
  </si>
  <si>
    <t>kuài dì</t>
  </si>
  <si>
    <t>宽</t>
  </si>
  <si>
    <t>kuān</t>
  </si>
  <si>
    <t>宽广</t>
  </si>
  <si>
    <t>kuān guǎng</t>
  </si>
  <si>
    <t>扩大</t>
  </si>
  <si>
    <t>kuòdà</t>
  </si>
  <si>
    <t>扩展</t>
  </si>
  <si>
    <t>kuòzhǎn</t>
  </si>
  <si>
    <t>括号</t>
  </si>
  <si>
    <t>kuòhào</t>
  </si>
  <si>
    <t>垃圾</t>
  </si>
  <si>
    <t>lā jī</t>
  </si>
  <si>
    <t>拉开</t>
  </si>
  <si>
    <t>lā kāi</t>
  </si>
  <si>
    <t>辣</t>
  </si>
  <si>
    <t>là</t>
  </si>
  <si>
    <t>来不及</t>
  </si>
  <si>
    <t>láibují</t>
  </si>
  <si>
    <t>来得及</t>
  </si>
  <si>
    <t>láidéjí</t>
  </si>
  <si>
    <t>来源</t>
  </si>
  <si>
    <t>láiyuán</t>
  </si>
  <si>
    <t>老公</t>
  </si>
  <si>
    <t>lǎo gōng</t>
  </si>
  <si>
    <t>老家</t>
  </si>
  <si>
    <t>lǎo jiā</t>
  </si>
  <si>
    <t>老婆</t>
  </si>
  <si>
    <t>lǎopó</t>
  </si>
  <si>
    <t>老实</t>
  </si>
  <si>
    <t>lǎoshi</t>
  </si>
  <si>
    <t>乐趣</t>
  </si>
  <si>
    <t>lèqù</t>
  </si>
  <si>
    <t>泪</t>
  </si>
  <si>
    <t>泪水</t>
  </si>
  <si>
    <t>lèishuǐ</t>
  </si>
  <si>
    <t>类型</t>
  </si>
  <si>
    <t>lèixíng</t>
  </si>
  <si>
    <t>冷静</t>
  </si>
  <si>
    <t>lěngjìng</t>
  </si>
  <si>
    <t>厘米</t>
  </si>
  <si>
    <t>límǐ</t>
  </si>
  <si>
    <t>离不开</t>
  </si>
  <si>
    <t>lí bù kāi</t>
  </si>
  <si>
    <t>力气</t>
  </si>
  <si>
    <t>lìqi</t>
  </si>
  <si>
    <t>立即</t>
  </si>
  <si>
    <t>lìjí</t>
  </si>
  <si>
    <t>利息</t>
  </si>
  <si>
    <t>lìxī</t>
  </si>
  <si>
    <t>利益</t>
  </si>
  <si>
    <t>lìyì</t>
  </si>
  <si>
    <t>俩</t>
  </si>
  <si>
    <t>liǎ</t>
  </si>
  <si>
    <t>良好</t>
  </si>
  <si>
    <t>liánghǎo</t>
  </si>
  <si>
    <t>量</t>
  </si>
  <si>
    <t>粮食</t>
  </si>
  <si>
    <t>liángshí</t>
  </si>
  <si>
    <t>两边</t>
  </si>
  <si>
    <t>liǎng biān</t>
  </si>
  <si>
    <t>疗养</t>
  </si>
  <si>
    <t>liáo yǎng</t>
  </si>
  <si>
    <t>了不起</t>
  </si>
  <si>
    <t>liǎobuqǐ</t>
  </si>
  <si>
    <t>列</t>
  </si>
  <si>
    <t>liè</t>
  </si>
  <si>
    <t>列车</t>
  </si>
  <si>
    <t>lièchē</t>
  </si>
  <si>
    <t>列入</t>
  </si>
  <si>
    <t>lièrù</t>
  </si>
  <si>
    <t>列为</t>
  </si>
  <si>
    <t>lièwéi</t>
  </si>
  <si>
    <t>临时</t>
  </si>
  <si>
    <t>línshí</t>
  </si>
  <si>
    <t>零食</t>
  </si>
  <si>
    <t>língshí</t>
  </si>
  <si>
    <t>流传</t>
  </si>
  <si>
    <t>liúchuán</t>
  </si>
  <si>
    <t>lóu tī</t>
  </si>
  <si>
    <t>陆地</t>
  </si>
  <si>
    <t>lùdì</t>
  </si>
  <si>
    <t>陆续</t>
  </si>
  <si>
    <t>lùxù</t>
  </si>
  <si>
    <t>录取</t>
  </si>
  <si>
    <t>lùqǔ</t>
  </si>
  <si>
    <t>律师</t>
  </si>
  <si>
    <t>lǜshī</t>
  </si>
  <si>
    <t>轮</t>
  </si>
  <si>
    <t>lún</t>
  </si>
  <si>
    <t>轮船</t>
  </si>
  <si>
    <t>lúnchuán</t>
  </si>
  <si>
    <t>轮椅</t>
  </si>
  <si>
    <t>lúnyǐ</t>
  </si>
  <si>
    <t>轮子</t>
  </si>
  <si>
    <t>lúnzi</t>
  </si>
  <si>
    <t>论文</t>
  </si>
  <si>
    <t>lùnwén</t>
  </si>
  <si>
    <t>落</t>
  </si>
  <si>
    <t>luò</t>
  </si>
  <si>
    <t>毛巾</t>
  </si>
  <si>
    <t>máojīn</t>
  </si>
  <si>
    <t>毛衣</t>
  </si>
  <si>
    <t>máo yī</t>
  </si>
  <si>
    <t>帽子</t>
  </si>
  <si>
    <t>màozi</t>
  </si>
  <si>
    <t>没错</t>
  </si>
  <si>
    <t>méi cuò</t>
  </si>
  <si>
    <t>没法儿</t>
  </si>
  <si>
    <t>méi fǎr</t>
  </si>
  <si>
    <t>没想到</t>
  </si>
  <si>
    <t>méi xiǎngdào</t>
  </si>
  <si>
    <t>美金</t>
  </si>
  <si>
    <t>měi jīn</t>
  </si>
  <si>
    <t>美女</t>
  </si>
  <si>
    <t>měi nǚ</t>
  </si>
  <si>
    <t>梦</t>
  </si>
  <si>
    <t>mèng</t>
  </si>
  <si>
    <t>梦见</t>
  </si>
  <si>
    <t>mèng jiàn</t>
  </si>
  <si>
    <t>梦想</t>
  </si>
  <si>
    <t>mèngxiǎng</t>
  </si>
  <si>
    <t>秘密</t>
  </si>
  <si>
    <t>mìmì</t>
  </si>
  <si>
    <t>秘书</t>
  </si>
  <si>
    <t>mìshū</t>
  </si>
  <si>
    <t>密</t>
  </si>
  <si>
    <t>mì</t>
  </si>
  <si>
    <t>密码</t>
  </si>
  <si>
    <t>mìmǎ</t>
  </si>
  <si>
    <t>密切</t>
  </si>
  <si>
    <t>mìqiè</t>
  </si>
  <si>
    <t>免费</t>
  </si>
  <si>
    <t>miǎnfèi</t>
  </si>
  <si>
    <t>面临</t>
  </si>
  <si>
    <t>miànlín</t>
  </si>
  <si>
    <t>面试</t>
  </si>
  <si>
    <t>miànshì</t>
  </si>
  <si>
    <t>描述</t>
  </si>
  <si>
    <t>miáoshù</t>
  </si>
  <si>
    <t>描写</t>
  </si>
  <si>
    <t>miáoxiě</t>
  </si>
  <si>
    <t>名牌儿</t>
  </si>
  <si>
    <t>míngpáir</t>
  </si>
  <si>
    <t>名片</t>
  </si>
  <si>
    <t>míngpiàn</t>
  </si>
  <si>
    <t>míng rén</t>
  </si>
  <si>
    <t>摸</t>
  </si>
  <si>
    <t>mō</t>
  </si>
  <si>
    <t>模特儿</t>
  </si>
  <si>
    <t>mótèr</t>
  </si>
  <si>
    <t>模型</t>
  </si>
  <si>
    <t>móxíng</t>
  </si>
  <si>
    <t>末</t>
  </si>
  <si>
    <t>mò</t>
  </si>
  <si>
    <t>默默</t>
  </si>
  <si>
    <t>mòmò</t>
  </si>
  <si>
    <t>哪怕</t>
  </si>
  <si>
    <t>nǎpà</t>
  </si>
  <si>
    <t>男女</t>
  </si>
  <si>
    <t>nán nǚ</t>
  </si>
  <si>
    <t>男士</t>
  </si>
  <si>
    <t>nán shì</t>
  </si>
  <si>
    <t>难免</t>
  </si>
  <si>
    <t>nánmiǎn</t>
  </si>
  <si>
    <t>脑袋</t>
  </si>
  <si>
    <t>nǎodai</t>
  </si>
  <si>
    <t>闹</t>
  </si>
  <si>
    <t>nào</t>
  </si>
  <si>
    <t>闹钟</t>
  </si>
  <si>
    <t>nàozhōng</t>
  </si>
  <si>
    <t>内部</t>
  </si>
  <si>
    <t>nèibù</t>
  </si>
  <si>
    <t>内科</t>
  </si>
  <si>
    <t>nèikē</t>
  </si>
  <si>
    <t>能干</t>
  </si>
  <si>
    <t>nénggàn</t>
  </si>
  <si>
    <t>宁静</t>
  </si>
  <si>
    <t>níngjìng</t>
  </si>
  <si>
    <t>浓</t>
  </si>
  <si>
    <t>nóng</t>
  </si>
  <si>
    <t>暖气</t>
  </si>
  <si>
    <t>nuǎn qì</t>
  </si>
  <si>
    <t>pāi zhào</t>
  </si>
  <si>
    <t>排列</t>
  </si>
  <si>
    <t>páiliè</t>
  </si>
  <si>
    <t>牌</t>
  </si>
  <si>
    <t>pái</t>
  </si>
  <si>
    <t>盘（名，量）</t>
  </si>
  <si>
    <t>pán</t>
  </si>
  <si>
    <t>胖子</t>
  </si>
  <si>
    <t>pàngzi</t>
  </si>
  <si>
    <t>培训</t>
  </si>
  <si>
    <t>péixùn</t>
  </si>
  <si>
    <t>培训班</t>
  </si>
  <si>
    <t>péixùn bān</t>
  </si>
  <si>
    <t>培养</t>
  </si>
  <si>
    <t>péiyǎng</t>
  </si>
  <si>
    <t>培育</t>
  </si>
  <si>
    <t>péiyù</t>
  </si>
  <si>
    <t>批（动）</t>
  </si>
  <si>
    <t>pī</t>
  </si>
  <si>
    <t>批（量）</t>
  </si>
  <si>
    <t>片面</t>
  </si>
  <si>
    <t>piànmiàn</t>
  </si>
  <si>
    <t>品质</t>
  </si>
  <si>
    <t>pǐnzhì</t>
  </si>
  <si>
    <t>平方</t>
  </si>
  <si>
    <t>píngfāng</t>
  </si>
  <si>
    <t>平静</t>
  </si>
  <si>
    <t>píngjìng</t>
  </si>
  <si>
    <t>平均</t>
  </si>
  <si>
    <t>píngjūn</t>
  </si>
  <si>
    <t>平稳</t>
  </si>
  <si>
    <t>píngwěn</t>
  </si>
  <si>
    <t>迫切</t>
  </si>
  <si>
    <t>pòqiè</t>
  </si>
  <si>
    <t>破产</t>
  </si>
  <si>
    <t>pòchǎn</t>
  </si>
  <si>
    <t>期待</t>
  </si>
  <si>
    <t>qīdài</t>
  </si>
  <si>
    <t>期间</t>
  </si>
  <si>
    <t>qījiān</t>
  </si>
  <si>
    <t>期末</t>
  </si>
  <si>
    <t>qīmò</t>
  </si>
  <si>
    <t>期限</t>
  </si>
  <si>
    <t>qīxiàn</t>
  </si>
  <si>
    <t>期中</t>
  </si>
  <si>
    <t>qī zhōng</t>
  </si>
  <si>
    <t>其余</t>
  </si>
  <si>
    <t>qíyú</t>
  </si>
  <si>
    <t>企业</t>
  </si>
  <si>
    <t>qǐyè</t>
  </si>
  <si>
    <t>气球</t>
  </si>
  <si>
    <t>qìqiú</t>
  </si>
  <si>
    <t>汽水</t>
  </si>
  <si>
    <t>qìshuǐ</t>
  </si>
  <si>
    <t>汽油</t>
  </si>
  <si>
    <t>qìyóu</t>
  </si>
  <si>
    <t>器官</t>
  </si>
  <si>
    <t>qìguān</t>
  </si>
  <si>
    <t>前头</t>
  </si>
  <si>
    <t>qián tou</t>
  </si>
  <si>
    <t>前途</t>
  </si>
  <si>
    <t>qiántú</t>
  </si>
  <si>
    <t>浅</t>
  </si>
  <si>
    <t>qiǎn</t>
  </si>
  <si>
    <t>巧克力</t>
  </si>
  <si>
    <t>qiǎokèlì</t>
  </si>
  <si>
    <t>切</t>
  </si>
  <si>
    <t>qiē</t>
  </si>
  <si>
    <t>亲爱</t>
  </si>
  <si>
    <t>qīn’ài</t>
  </si>
  <si>
    <t>亲密</t>
  </si>
  <si>
    <t>qīnmì</t>
  </si>
  <si>
    <t>青春</t>
  </si>
  <si>
    <t>qīngchūn</t>
  </si>
  <si>
    <t>轻松</t>
  </si>
  <si>
    <t>qīngsōng</t>
  </si>
  <si>
    <t>轻易</t>
  </si>
  <si>
    <t>qīngyì</t>
  </si>
  <si>
    <t>清醒</t>
  </si>
  <si>
    <t>qīngxǐng</t>
  </si>
  <si>
    <t>情景</t>
  </si>
  <si>
    <t>qíngjǐng</t>
  </si>
  <si>
    <t>穷</t>
  </si>
  <si>
    <t>qióng</t>
  </si>
  <si>
    <t>穷人</t>
  </si>
  <si>
    <t>qióng rén</t>
  </si>
  <si>
    <t>秋季</t>
  </si>
  <si>
    <t>qiū jì</t>
  </si>
  <si>
    <t>趋势</t>
  </si>
  <si>
    <t>qūshì</t>
  </si>
  <si>
    <t>圈</t>
  </si>
  <si>
    <t>quān</t>
  </si>
  <si>
    <t>权利</t>
  </si>
  <si>
    <t>quánlì</t>
  </si>
  <si>
    <t>却</t>
  </si>
  <si>
    <t>què</t>
  </si>
  <si>
    <t>确认</t>
  </si>
  <si>
    <t>quèrèn</t>
  </si>
  <si>
    <t>然而</t>
  </si>
  <si>
    <t>rán’ér</t>
  </si>
  <si>
    <t>燃料</t>
  </si>
  <si>
    <t>ránliào</t>
  </si>
  <si>
    <t>燃烧</t>
  </si>
  <si>
    <t>ránshāo</t>
  </si>
  <si>
    <t>热闹</t>
  </si>
  <si>
    <t>rènao</t>
  </si>
  <si>
    <t>热心</t>
  </si>
  <si>
    <t>rèxīn</t>
  </si>
  <si>
    <t>人家</t>
  </si>
  <si>
    <t>rénjiā</t>
  </si>
  <si>
    <t>日记</t>
  </si>
  <si>
    <t>rìjì</t>
  </si>
  <si>
    <t>日历</t>
  </si>
  <si>
    <t>rìlì</t>
  </si>
  <si>
    <t>如今</t>
  </si>
  <si>
    <t>rújīn</t>
  </si>
  <si>
    <t>弱</t>
  </si>
  <si>
    <t>ruò</t>
  </si>
  <si>
    <t>散</t>
  </si>
  <si>
    <t>sàn</t>
  </si>
  <si>
    <t>扫</t>
  </si>
  <si>
    <t>sǎo</t>
  </si>
  <si>
    <t>色</t>
  </si>
  <si>
    <t>sè</t>
  </si>
  <si>
    <t>色彩</t>
  </si>
  <si>
    <t>sècǎi</t>
  </si>
  <si>
    <t>森林</t>
  </si>
  <si>
    <t>sēnlín</t>
  </si>
  <si>
    <t>晒</t>
  </si>
  <si>
    <t>shài</t>
  </si>
  <si>
    <t>闪</t>
  </si>
  <si>
    <t>shǎn</t>
  </si>
  <si>
    <t>闪电</t>
  </si>
  <si>
    <t>shǎndiàn</t>
  </si>
  <si>
    <t>善良</t>
  </si>
  <si>
    <t>shànliáng</t>
  </si>
  <si>
    <t>善于</t>
  </si>
  <si>
    <t>shànyú</t>
  </si>
  <si>
    <t>伤害</t>
  </si>
  <si>
    <t>shānghài</t>
  </si>
  <si>
    <t>商务</t>
  </si>
  <si>
    <t>shāngwù</t>
  </si>
  <si>
    <t>赏</t>
  </si>
  <si>
    <t>shǎng</t>
  </si>
  <si>
    <t>上个月</t>
  </si>
  <si>
    <t>shàng gè yuè</t>
  </si>
  <si>
    <t>上楼</t>
  </si>
  <si>
    <t>shàng lóu</t>
  </si>
  <si>
    <t>上门</t>
  </si>
  <si>
    <t>shàng mén</t>
  </si>
  <si>
    <t>烧</t>
  </si>
  <si>
    <t>shāo</t>
  </si>
  <si>
    <t>设施</t>
  </si>
  <si>
    <t>shèshī</t>
  </si>
  <si>
    <t>设置</t>
  </si>
  <si>
    <t>shèzhì</t>
  </si>
  <si>
    <t>申请</t>
  </si>
  <si>
    <t>shēnqǐng</t>
  </si>
  <si>
    <t>身材</t>
  </si>
  <si>
    <t>shēncái</t>
  </si>
  <si>
    <t>身份</t>
  </si>
  <si>
    <t>shēnfèn</t>
  </si>
  <si>
    <t>shēn gāo</t>
  </si>
  <si>
    <t>深厚</t>
  </si>
  <si>
    <t>shēn hòu</t>
  </si>
  <si>
    <t>神话</t>
  </si>
  <si>
    <t>shénhuà</t>
  </si>
  <si>
    <t>神秘</t>
  </si>
  <si>
    <t>shénmì</t>
  </si>
  <si>
    <t>甚至</t>
  </si>
  <si>
    <t>shènzhì</t>
  </si>
  <si>
    <t>失败</t>
  </si>
  <si>
    <t>shībài</t>
  </si>
  <si>
    <t>失望</t>
  </si>
  <si>
    <t>shīwàng</t>
  </si>
  <si>
    <t>失业</t>
  </si>
  <si>
    <t>shīyè</t>
  </si>
  <si>
    <t>诗</t>
  </si>
  <si>
    <t>shī</t>
  </si>
  <si>
    <t>诗人</t>
  </si>
  <si>
    <t>shīrén</t>
  </si>
  <si>
    <t>湿</t>
  </si>
  <si>
    <t>实施</t>
  </si>
  <si>
    <t>shíshī</t>
  </si>
  <si>
    <t>实用</t>
  </si>
  <si>
    <t>shíyòng</t>
  </si>
  <si>
    <t>食堂</t>
  </si>
  <si>
    <t>shítáng</t>
  </si>
  <si>
    <t>使劲</t>
  </si>
  <si>
    <t>shǐ jìn</t>
  </si>
  <si>
    <t>士兵</t>
  </si>
  <si>
    <t>shìbīng</t>
  </si>
  <si>
    <t>市区</t>
  </si>
  <si>
    <t>shìqū</t>
  </si>
  <si>
    <t>似的</t>
  </si>
  <si>
    <t>shìde</t>
  </si>
  <si>
    <t>事物</t>
  </si>
  <si>
    <t>shìwù</t>
  </si>
  <si>
    <t>事先</t>
  </si>
  <si>
    <t>shìxiān</t>
  </si>
  <si>
    <t>试卷</t>
  </si>
  <si>
    <t>shìjuàn</t>
  </si>
  <si>
    <t>是否</t>
  </si>
  <si>
    <t>shìfǒu</t>
  </si>
  <si>
    <t>收回</t>
  </si>
  <si>
    <t>shōuhuí</t>
  </si>
  <si>
    <t>收获</t>
  </si>
  <si>
    <t>shōuhuò</t>
  </si>
  <si>
    <t>收益</t>
  </si>
  <si>
    <t>shōuyì</t>
  </si>
  <si>
    <t>手工</t>
  </si>
  <si>
    <t>shǒugōng</t>
  </si>
  <si>
    <t>手里</t>
  </si>
  <si>
    <t>shǒu lǐ</t>
  </si>
  <si>
    <t>手术</t>
  </si>
  <si>
    <t>shǒushù</t>
  </si>
  <si>
    <t>手套</t>
  </si>
  <si>
    <t>shǒutào</t>
  </si>
  <si>
    <t>守</t>
  </si>
  <si>
    <t>首（量）</t>
  </si>
  <si>
    <t>受不了</t>
  </si>
  <si>
    <t>shòubuliǎo</t>
  </si>
  <si>
    <t>舒适</t>
  </si>
  <si>
    <t>shūshì</t>
  </si>
  <si>
    <t>熟练</t>
  </si>
  <si>
    <t>shúliàn</t>
  </si>
  <si>
    <t>暑假</t>
  </si>
  <si>
    <t>shǔjià</t>
  </si>
  <si>
    <t>树林</t>
  </si>
  <si>
    <t>shùlín</t>
  </si>
  <si>
    <t>树叶</t>
  </si>
  <si>
    <t>shù yè</t>
  </si>
  <si>
    <t>数据</t>
  </si>
  <si>
    <t>shùjù</t>
  </si>
  <si>
    <t>数码</t>
  </si>
  <si>
    <t>shùmǎ</t>
  </si>
  <si>
    <t>刷牙</t>
  </si>
  <si>
    <t>shuāyá</t>
  </si>
  <si>
    <t>刷子</t>
  </si>
  <si>
    <t>shuāzi</t>
  </si>
  <si>
    <t>帅</t>
  </si>
  <si>
    <t>shuài</t>
  </si>
  <si>
    <t>帅哥</t>
  </si>
  <si>
    <t>shuài gē</t>
  </si>
  <si>
    <t>率先</t>
  </si>
  <si>
    <t>shuài xiān</t>
  </si>
  <si>
    <t>睡着</t>
  </si>
  <si>
    <t>shuìzháo</t>
  </si>
  <si>
    <t>顺序</t>
  </si>
  <si>
    <t>shùnxù</t>
  </si>
  <si>
    <t>说不定</t>
  </si>
  <si>
    <t>shuōbudìng</t>
  </si>
  <si>
    <t>说服</t>
  </si>
  <si>
    <t>shuōfú</t>
  </si>
  <si>
    <t>思考</t>
  </si>
  <si>
    <t>sīkǎo</t>
  </si>
  <si>
    <t>似乎</t>
  </si>
  <si>
    <t>sìhū</t>
  </si>
  <si>
    <t>松</t>
  </si>
  <si>
    <t>sōng</t>
  </si>
  <si>
    <t>松树</t>
  </si>
  <si>
    <t>sōng shù</t>
  </si>
  <si>
    <t>塑料</t>
  </si>
  <si>
    <t>sùliào</t>
  </si>
  <si>
    <t>塑料袋</t>
  </si>
  <si>
    <t>sùliàodài</t>
  </si>
  <si>
    <t>酸</t>
  </si>
  <si>
    <t>suān</t>
  </si>
  <si>
    <t>酸奶</t>
  </si>
  <si>
    <t>suān nǎi</t>
  </si>
  <si>
    <t>随手</t>
  </si>
  <si>
    <t>suíshǒu</t>
  </si>
  <si>
    <t>孙女</t>
  </si>
  <si>
    <t>sūn nǚ</t>
  </si>
  <si>
    <t>孙子</t>
  </si>
  <si>
    <t>sūnzi</t>
  </si>
  <si>
    <t>缩短</t>
  </si>
  <si>
    <t>suōduǎn</t>
  </si>
  <si>
    <t>缩小</t>
  </si>
  <si>
    <t>suōxiǎo</t>
  </si>
  <si>
    <t>台阶</t>
  </si>
  <si>
    <t>táijiē</t>
  </si>
  <si>
    <t>台上</t>
  </si>
  <si>
    <t>tái shàng</t>
  </si>
  <si>
    <t>躺</t>
  </si>
  <si>
    <t>tǎng</t>
  </si>
  <si>
    <t>套餐</t>
  </si>
  <si>
    <t>tào cān</t>
  </si>
  <si>
    <t>特价</t>
  </si>
  <si>
    <t>tèjià</t>
  </si>
  <si>
    <t>特殊</t>
  </si>
  <si>
    <t>tèshū</t>
  </si>
  <si>
    <t>特征</t>
  </si>
  <si>
    <t>tèzhēng</t>
  </si>
  <si>
    <t>还是打车去北大吧</t>
  </si>
  <si>
    <t>à</t>
  </si>
  <si>
    <r>
      <t xml:space="preserve">14. Công cụ ngữ pháp &amp; Cấu trúc, </t>
    </r>
    <r>
      <rPr>
        <sz val="10"/>
        <color rgb="FFB10202"/>
        <rFont val="Arial"/>
        <family val="2"/>
        <scheme val="minor"/>
      </rPr>
      <t>3. Cảm xúc &amp; Thái độ</t>
    </r>
  </si>
  <si>
    <t>他篮球打得很好</t>
  </si>
  <si>
    <r>
      <t>Danh từ</t>
    </r>
    <r>
      <rPr>
        <sz val="10"/>
        <color rgb="FF000000"/>
        <rFont val="Arial"/>
        <family val="2"/>
        <scheme val="minor"/>
      </rPr>
      <t xml:space="preserve">, </t>
    </r>
    <r>
      <rPr>
        <sz val="10"/>
        <color rgb="FF753800"/>
        <rFont val="Arial"/>
        <family val="2"/>
        <scheme val="minor"/>
      </rPr>
      <t>Động từ</t>
    </r>
  </si>
  <si>
    <t>虽然你忘了， 但是我记得</t>
  </si>
  <si>
    <t>你穿红色的很好看</t>
  </si>
  <si>
    <t>Trắng</t>
  </si>
  <si>
    <r>
      <t>12. Miêu tả &amp; Đánh giá</t>
    </r>
    <r>
      <rPr>
        <sz val="10"/>
        <color rgb="FF000000"/>
        <rFont val="Arial"/>
        <family val="2"/>
        <scheme val="minor"/>
      </rPr>
      <t xml:space="preserve">, </t>
    </r>
    <r>
      <rPr>
        <sz val="10"/>
        <color rgb="FFBFE0F6"/>
        <rFont val="Arial"/>
        <family val="2"/>
        <scheme val="minor"/>
      </rPr>
      <t>2. Cơ thể &amp; Sức khỏe</t>
    </r>
  </si>
  <si>
    <t>lớp</t>
  </si>
  <si>
    <t>就要考试了</t>
  </si>
  <si>
    <t>giúp đỡ</t>
  </si>
  <si>
    <r>
      <t>11. Công việc &amp; Nghề nghiệp</t>
    </r>
    <r>
      <rPr>
        <sz val="10"/>
        <color rgb="FF000000"/>
        <rFont val="Arial"/>
        <family val="2"/>
        <scheme val="minor"/>
      </rPr>
      <t xml:space="preserve">, </t>
    </r>
    <r>
      <rPr>
        <sz val="10"/>
        <color rgb="FFBFE0F6"/>
        <rFont val="Arial"/>
        <family val="2"/>
        <scheme val="minor"/>
      </rPr>
      <t>2. Cơ thể &amp; Sức khỏe</t>
    </r>
  </si>
  <si>
    <r>
      <t>5. Đời sống sinh hoạt</t>
    </r>
    <r>
      <rPr>
        <sz val="10"/>
        <color rgb="FF000000"/>
        <rFont val="Arial"/>
        <family val="2"/>
        <scheme val="minor"/>
      </rPr>
      <t xml:space="preserve">, </t>
    </r>
    <r>
      <rPr>
        <sz val="10"/>
        <color rgb="FF0A53A8"/>
        <rFont val="Arial"/>
        <family val="2"/>
        <scheme val="minor"/>
      </rPr>
      <t>11. Công việc &amp; Nghề nghiệp</t>
    </r>
  </si>
  <si>
    <t>一个人过年多没意思啊</t>
  </si>
  <si>
    <r>
      <t>Danh từ</t>
    </r>
    <r>
      <rPr>
        <sz val="10"/>
        <color rgb="FF000000"/>
        <rFont val="Arial"/>
        <family val="2"/>
        <scheme val="minor"/>
      </rPr>
      <t xml:space="preserve">, </t>
    </r>
    <r>
      <rPr>
        <sz val="10"/>
        <color rgb="FFC6DBE1"/>
        <rFont val="Arial"/>
        <family val="2"/>
        <scheme val="minor"/>
      </rPr>
      <t>Lượng từ</t>
    </r>
  </si>
  <si>
    <t xml:space="preserve">cái túi
</t>
  </si>
  <si>
    <r>
      <t>5. Đời sống sinh hoạt</t>
    </r>
    <r>
      <rPr>
        <sz val="10"/>
        <color rgb="FF000000"/>
        <rFont val="Arial"/>
        <family val="2"/>
        <scheme val="minor"/>
      </rPr>
      <t xml:space="preserve">, </t>
    </r>
    <r>
      <rPr>
        <sz val="10"/>
        <color rgb="FF5A3286"/>
        <rFont val="Arial"/>
        <family val="2"/>
        <scheme val="minor"/>
      </rPr>
      <t>6. Đồ vật &amp; Công cụ</t>
    </r>
  </si>
  <si>
    <t>vở</t>
  </si>
  <si>
    <r>
      <t>Giới từ</t>
    </r>
    <r>
      <rPr>
        <sz val="10"/>
        <color rgb="FF000000"/>
        <rFont val="Arial"/>
        <family val="2"/>
        <scheme val="minor"/>
      </rPr>
      <t xml:space="preserve">, </t>
    </r>
    <r>
      <rPr>
        <sz val="10"/>
        <color rgb="FF753800"/>
        <rFont val="Arial"/>
        <family val="2"/>
        <scheme val="minor"/>
      </rPr>
      <t>Động từ</t>
    </r>
  </si>
  <si>
    <t>So sánh</t>
  </si>
  <si>
    <t>14. Công cụ ngữ pháp &amp; Cấu trúc</t>
  </si>
  <si>
    <t>Cái bút</t>
  </si>
  <si>
    <t>Đừng</t>
  </si>
  <si>
    <t>Tốt</t>
  </si>
  <si>
    <r>
      <t>12. Miêu tả &amp; Đánh giá</t>
    </r>
    <r>
      <rPr>
        <sz val="10"/>
        <color rgb="FF000000"/>
        <rFont val="Arial"/>
        <family val="2"/>
        <scheme val="minor"/>
      </rPr>
      <t xml:space="preserve">, </t>
    </r>
    <r>
      <rPr>
        <sz val="10"/>
        <color rgb="FFB10202"/>
        <rFont val="Arial"/>
        <family val="2"/>
        <scheme val="minor"/>
      </rPr>
      <t>3. Cảm xúc &amp; Thái độ</t>
    </r>
  </si>
  <si>
    <t>小雪，生日快乐！</t>
  </si>
  <si>
    <t>Đi nước ngoài</t>
  </si>
  <si>
    <t>Đi ra ngoài</t>
  </si>
  <si>
    <t>đi ra ngoài</t>
  </si>
  <si>
    <r>
      <t>8. Giao thông &amp; Di chuyển</t>
    </r>
    <r>
      <rPr>
        <sz val="10"/>
        <color rgb="FF000000"/>
        <rFont val="Arial"/>
        <family val="2"/>
        <scheme val="minor"/>
      </rPr>
      <t xml:space="preserve">, </t>
    </r>
    <r>
      <rPr>
        <sz val="10"/>
        <color rgb="FFFFE5A0"/>
        <rFont val="Arial"/>
        <family val="2"/>
        <scheme val="minor"/>
      </rPr>
      <t>9. Không gian &amp; Vị trí</t>
    </r>
  </si>
  <si>
    <t>giường</t>
  </si>
  <si>
    <t>từ</t>
  </si>
  <si>
    <t>13. Số lượng &amp; Đo lường</t>
  </si>
  <si>
    <t>Từ thời thơ ấu</t>
  </si>
  <si>
    <r>
      <t xml:space="preserve">14. Công cụ ngữ pháp &amp; Cấu trúc, </t>
    </r>
    <r>
      <rPr>
        <sz val="10"/>
        <color rgb="FF473821"/>
        <rFont val="Arial"/>
        <family val="2"/>
        <scheme val="minor"/>
      </rPr>
      <t>10. Thời gian</t>
    </r>
  </si>
  <si>
    <r>
      <t>12. Miêu tả &amp; Đánh giá</t>
    </r>
    <r>
      <rPr>
        <sz val="10"/>
        <color rgb="FF000000"/>
        <rFont val="Arial"/>
        <family val="2"/>
        <scheme val="minor"/>
      </rPr>
      <t xml:space="preserve">, </t>
    </r>
    <r>
      <rPr>
        <sz val="10"/>
        <color rgb="FF11734B"/>
        <rFont val="Arial"/>
        <family val="2"/>
        <scheme val="minor"/>
      </rPr>
      <t>4. Tư duy &amp; Nhận thức</t>
    </r>
  </si>
  <si>
    <t>Mở</t>
  </si>
  <si>
    <t>Nhưng</t>
  </si>
  <si>
    <t>Chờ đợi</t>
  </si>
  <si>
    <t>tàu điện ngầm</t>
  </si>
  <si>
    <t>Hiểu</t>
  </si>
  <si>
    <t>di chuyển</t>
  </si>
  <si>
    <t>nhà hàng</t>
  </si>
  <si>
    <t>căn nhà</t>
  </si>
  <si>
    <t>bay</t>
  </si>
  <si>
    <t>cao</t>
  </si>
  <si>
    <t>Kể</t>
  </si>
  <si>
    <r>
      <t>5. Đời sống sinh hoạt</t>
    </r>
    <r>
      <rPr>
        <sz val="10"/>
        <color rgb="FF000000"/>
        <rFont val="Arial"/>
        <family val="2"/>
        <scheme val="minor"/>
      </rPr>
      <t xml:space="preserve">, </t>
    </r>
    <r>
      <rPr>
        <sz val="10"/>
        <color rgb="FF215A6C"/>
        <rFont val="Arial"/>
        <family val="2"/>
        <scheme val="minor"/>
      </rPr>
      <t>12. Miêu tả &amp; Đánh giá</t>
    </r>
  </si>
  <si>
    <t>vóc dáng</t>
  </si>
  <si>
    <r>
      <t>Giới từ</t>
    </r>
    <r>
      <rPr>
        <sz val="10"/>
        <color rgb="FF000000"/>
        <rFont val="Arial"/>
        <family val="2"/>
        <scheme val="minor"/>
      </rPr>
      <t xml:space="preserve">, </t>
    </r>
    <r>
      <rPr>
        <sz val="10"/>
        <color rgb="FF5A3286"/>
        <rFont val="Arial"/>
        <family val="2"/>
        <scheme val="minor"/>
      </rPr>
      <t>Liên từ</t>
    </r>
  </si>
  <si>
    <t>Thậm chí</t>
  </si>
  <si>
    <t>xe buýt</t>
  </si>
  <si>
    <t>Vượt qua</t>
  </si>
  <si>
    <t>đến đây</t>
  </si>
  <si>
    <t>đã từng</t>
  </si>
  <si>
    <t>giống</t>
  </si>
  <si>
    <t>12. Miêu tả &amp; Đánh giá</t>
  </si>
  <si>
    <t>đen</t>
  </si>
  <si>
    <t>màu đỏ</t>
  </si>
  <si>
    <r>
      <t>Động từ</t>
    </r>
    <r>
      <rPr>
        <sz val="10"/>
        <color rgb="FF000000"/>
        <rFont val="Arial"/>
        <family val="2"/>
        <scheme val="minor"/>
      </rPr>
      <t xml:space="preserve">, </t>
    </r>
    <r>
      <rPr>
        <sz val="10"/>
        <color rgb="FFB10202"/>
        <rFont val="Arial"/>
        <family val="2"/>
        <scheme val="minor"/>
      </rPr>
      <t>Danh từ</t>
    </r>
  </si>
  <si>
    <t>xấu</t>
  </si>
  <si>
    <t>trở lại</t>
  </si>
  <si>
    <t>quay lại</t>
  </si>
  <si>
    <t>Sân bay</t>
  </si>
  <si>
    <t>Vé máy bay</t>
  </si>
  <si>
    <t>Nhớ</t>
  </si>
  <si>
    <r>
      <t>11. Công việc &amp; Nghề nghiệp</t>
    </r>
    <r>
      <rPr>
        <sz val="10"/>
        <color rgb="FF000000"/>
        <rFont val="Arial"/>
        <family val="2"/>
        <scheme val="minor"/>
      </rPr>
      <t xml:space="preserve">, </t>
    </r>
    <r>
      <rPr>
        <sz val="10"/>
        <color rgb="FF753800"/>
        <rFont val="Arial"/>
        <family val="2"/>
        <scheme val="minor"/>
      </rPr>
      <t>5. Đời sống sinh hoạt</t>
    </r>
  </si>
  <si>
    <t>phòng học</t>
  </si>
  <si>
    <t>giới thiệu</t>
  </si>
  <si>
    <r>
      <t>1. Con người &amp; Các mối quan hệ</t>
    </r>
    <r>
      <rPr>
        <sz val="10"/>
        <color rgb="FF000000"/>
        <rFont val="Arial"/>
        <family val="2"/>
        <scheme val="minor"/>
      </rPr>
      <t xml:space="preserve">, </t>
    </r>
    <r>
      <rPr>
        <sz val="10"/>
        <color rgb="FFBFE0F6"/>
        <rFont val="Arial"/>
        <family val="2"/>
        <scheme val="minor"/>
      </rPr>
      <t>2. Cơ thể &amp; Sức khỏe</t>
    </r>
  </si>
  <si>
    <t>Đi vào</t>
  </si>
  <si>
    <r>
      <t>9. Không gian &amp; Vị trí</t>
    </r>
    <r>
      <rPr>
        <sz val="10"/>
        <color rgb="FF000000"/>
        <rFont val="Arial"/>
        <family val="2"/>
        <scheme val="minor"/>
      </rPr>
      <t xml:space="preserve">, </t>
    </r>
    <r>
      <rPr>
        <sz val="10"/>
        <color rgb="FF215A6C"/>
        <rFont val="Arial"/>
        <family val="2"/>
        <scheme val="minor"/>
      </rPr>
      <t>12. Miêu tả &amp; Đánh giá</t>
    </r>
  </si>
  <si>
    <t>khách sạn</t>
  </si>
  <si>
    <r>
      <t>Phó từ</t>
    </r>
    <r>
      <rPr>
        <sz val="10"/>
        <color rgb="FF000000"/>
        <rFont val="Arial"/>
        <family val="2"/>
        <scheme val="minor"/>
      </rPr>
      <t xml:space="preserve">, </t>
    </r>
    <r>
      <rPr>
        <sz val="10"/>
        <color rgb="FF215A6C"/>
        <rFont val="Arial"/>
        <family val="2"/>
        <scheme val="minor"/>
      </rPr>
      <t>Giới từ</t>
    </r>
  </si>
  <si>
    <t>Ngay lập tức</t>
  </si>
  <si>
    <t>cà phê</t>
  </si>
  <si>
    <r>
      <t>6. Đồ vật &amp; Công cụ</t>
    </r>
    <r>
      <rPr>
        <sz val="10"/>
        <color rgb="FF000000"/>
        <rFont val="Arial"/>
        <family val="2"/>
        <scheme val="minor"/>
      </rPr>
      <t xml:space="preserve">, </t>
    </r>
    <r>
      <rPr>
        <sz val="10"/>
        <color rgb="FF3D3D3D"/>
        <rFont val="Arial"/>
        <family val="2"/>
        <scheme val="minor"/>
      </rPr>
      <t>15. Tự nhiên</t>
    </r>
  </si>
  <si>
    <r>
      <t>10. Thời gian</t>
    </r>
    <r>
      <rPr>
        <sz val="10"/>
        <color rgb="FF000000"/>
        <rFont val="Arial"/>
        <family val="2"/>
        <scheme val="minor"/>
      </rPr>
      <t xml:space="preserve">, </t>
    </r>
    <r>
      <rPr>
        <sz val="10"/>
        <color rgb="FF753800"/>
        <rFont val="Arial"/>
        <family val="2"/>
        <scheme val="minor"/>
      </rPr>
      <t>5. Đời sống sinh hoạt</t>
    </r>
  </si>
  <si>
    <t>Quần dài</t>
  </si>
  <si>
    <r>
      <t>Phó từ</t>
    </r>
    <r>
      <rPr>
        <sz val="10"/>
        <color rgb="FF000000"/>
        <rFont val="Arial"/>
        <family val="2"/>
        <scheme val="minor"/>
      </rPr>
      <t xml:space="preserve">, </t>
    </r>
    <r>
      <rPr>
        <sz val="10"/>
        <color rgb="FF473821"/>
        <rFont val="Arial"/>
        <family val="2"/>
        <scheme val="minor"/>
      </rPr>
      <t>Tính từ</t>
    </r>
  </si>
  <si>
    <t>nhanh</t>
  </si>
  <si>
    <t>hạnh phúc</t>
  </si>
  <si>
    <t>bóng rổ</t>
  </si>
  <si>
    <t>mệt</t>
  </si>
  <si>
    <t>Rời khỏi</t>
  </si>
  <si>
    <t>Quà</t>
  </si>
  <si>
    <t>đường</t>
  </si>
  <si>
    <t>Trên đường</t>
  </si>
  <si>
    <r>
      <t>7. Địa điểm &amp; Nơi chốn</t>
    </r>
    <r>
      <rPr>
        <sz val="10"/>
        <color rgb="FF000000"/>
        <rFont val="Arial"/>
        <family val="2"/>
        <scheme val="minor"/>
      </rPr>
      <t xml:space="preserve">, </t>
    </r>
    <r>
      <rPr>
        <sz val="10"/>
        <color rgb="FFFFCFC9"/>
        <rFont val="Arial"/>
        <family val="2"/>
        <scheme val="minor"/>
      </rPr>
      <t>8. Giao thông &amp; Di chuyển</t>
    </r>
  </si>
  <si>
    <t>du lịch</t>
  </si>
  <si>
    <t>màu xanh lá</t>
  </si>
  <si>
    <t>15. Tự nhiên</t>
  </si>
  <si>
    <t>chậm</t>
  </si>
  <si>
    <t>Cửa</t>
  </si>
  <si>
    <t>Lối vào</t>
  </si>
  <si>
    <r>
      <t>7. Địa điểm &amp; Nơi chốn</t>
    </r>
    <r>
      <rPr>
        <sz val="10"/>
        <color rgb="FF000000"/>
        <rFont val="Arial"/>
        <family val="2"/>
        <scheme val="minor"/>
      </rPr>
      <t xml:space="preserve">, </t>
    </r>
    <r>
      <rPr>
        <sz val="10"/>
        <color rgb="FFFFE5A0"/>
        <rFont val="Arial"/>
        <family val="2"/>
        <scheme val="minor"/>
      </rPr>
      <t>9. Không gian &amp; Vị trí</t>
    </r>
  </si>
  <si>
    <t>Vé</t>
  </si>
  <si>
    <t>bề mặt</t>
  </si>
  <si>
    <r>
      <t>Lượng từ</t>
    </r>
    <r>
      <rPr>
        <sz val="10"/>
        <color rgb="FF000000"/>
        <rFont val="Arial"/>
        <family val="2"/>
        <scheme val="minor"/>
      </rPr>
      <t xml:space="preserve">, </t>
    </r>
    <r>
      <rPr>
        <sz val="10"/>
        <color rgb="FFB10202"/>
        <rFont val="Arial"/>
        <family val="2"/>
        <scheme val="minor"/>
      </rPr>
      <t>Danh từ</t>
    </r>
  </si>
  <si>
    <t>lấy</t>
  </si>
  <si>
    <t>Vì thế</t>
  </si>
  <si>
    <t>Cái đó</t>
  </si>
  <si>
    <t>trà sữa</t>
  </si>
  <si>
    <t>con trai</t>
  </si>
  <si>
    <t>chim</t>
  </si>
  <si>
    <t>Con gái</t>
  </si>
  <si>
    <t>bên cạnh</t>
  </si>
  <si>
    <t>chạy</t>
  </si>
  <si>
    <t>chạy bộ</t>
  </si>
  <si>
    <r>
      <t>8. Giao thông &amp; Di chuyển</t>
    </r>
    <r>
      <rPr>
        <sz val="10"/>
        <color rgb="FF000000"/>
        <rFont val="Arial"/>
        <family val="2"/>
        <scheme val="minor"/>
      </rPr>
      <t xml:space="preserve">, </t>
    </r>
    <r>
      <rPr>
        <sz val="10"/>
        <color rgb="FF753800"/>
        <rFont val="Arial"/>
        <family val="2"/>
        <scheme val="minor"/>
      </rPr>
      <t>5. Đời sống sinh hoạt</t>
    </r>
  </si>
  <si>
    <t>vé</t>
  </si>
  <si>
    <t>vợ</t>
  </si>
  <si>
    <t>Đằng trước</t>
  </si>
  <si>
    <r>
      <t>12. Miêu tả &amp; Đánh giá</t>
    </r>
    <r>
      <rPr>
        <sz val="10"/>
        <color rgb="FF000000"/>
        <rFont val="Arial"/>
        <family val="2"/>
        <scheme val="minor"/>
      </rPr>
      <t xml:space="preserve">, </t>
    </r>
    <r>
      <rPr>
        <sz val="10"/>
        <color rgb="FF3D3D3D"/>
        <rFont val="Arial"/>
        <family val="2"/>
        <scheme val="minor"/>
      </rPr>
      <t>15. Tự nhiên</t>
    </r>
  </si>
  <si>
    <t>quả bóng</t>
  </si>
  <si>
    <t>cho phép</t>
  </si>
  <si>
    <t>Thịt</t>
  </si>
  <si>
    <r>
      <t>15. Tự nhiên</t>
    </r>
    <r>
      <rPr>
        <sz val="10"/>
        <color rgb="FF000000"/>
        <rFont val="Arial"/>
        <family val="2"/>
        <scheme val="minor"/>
      </rPr>
      <t xml:space="preserve">, </t>
    </r>
    <r>
      <rPr>
        <sz val="10"/>
        <color rgb="FF753800"/>
        <rFont val="Arial"/>
        <family val="2"/>
        <scheme val="minor"/>
      </rPr>
      <t>5. Đời sống sinh hoạt</t>
    </r>
  </si>
  <si>
    <t>trung tâm mua sắm</t>
  </si>
  <si>
    <t>Lên đây nào</t>
  </si>
  <si>
    <t>bên trên</t>
  </si>
  <si>
    <t>Đi lên</t>
  </si>
  <si>
    <t>Sinh nhật</t>
  </si>
  <si>
    <t>khi, lúc, thời điểm</t>
  </si>
  <si>
    <t>vấn đề</t>
  </si>
  <si>
    <t>thử</t>
  </si>
  <si>
    <t>tay</t>
  </si>
  <si>
    <t>Thoải mái</t>
  </si>
  <si>
    <t>giao</t>
  </si>
  <si>
    <t>Mặc dù</t>
  </si>
  <si>
    <t>Đá</t>
  </si>
  <si>
    <t>câu hỏi</t>
  </si>
  <si>
    <t>cái đầu</t>
  </si>
  <si>
    <t>nước ngoài</t>
  </si>
  <si>
    <t>Ngoài</t>
  </si>
  <si>
    <t>Trực tuyến</t>
  </si>
  <si>
    <r>
      <t>Động từ</t>
    </r>
    <r>
      <rPr>
        <sz val="10"/>
        <color rgb="FF000000"/>
        <rFont val="Arial"/>
        <family val="2"/>
        <scheme val="minor"/>
      </rPr>
      <t xml:space="preserve">, </t>
    </r>
    <r>
      <rPr>
        <sz val="10"/>
        <color rgb="FF215A6C"/>
        <rFont val="Arial"/>
        <family val="2"/>
        <scheme val="minor"/>
      </rPr>
      <t>Giới từ</t>
    </r>
  </si>
  <si>
    <t>quên</t>
  </si>
  <si>
    <t>Tại sao</t>
  </si>
  <si>
    <t>mong</t>
  </si>
  <si>
    <t>rửa</t>
  </si>
  <si>
    <t>dưới</t>
  </si>
  <si>
    <t>Đi xuống</t>
  </si>
  <si>
    <t>đứa trẻ</t>
  </si>
  <si>
    <t>cười</t>
  </si>
  <si>
    <t>năm mới</t>
  </si>
  <si>
    <t>họ</t>
  </si>
  <si>
    <t>tên</t>
  </si>
  <si>
    <t>màu sắc</t>
  </si>
  <si>
    <t>Mắt</t>
  </si>
  <si>
    <t>thuốc</t>
  </si>
  <si>
    <t>nhà thuốc</t>
  </si>
  <si>
    <r>
      <t>2. Cơ thể &amp; Sức khỏe</t>
    </r>
    <r>
      <rPr>
        <sz val="10"/>
        <color rgb="FF000000"/>
        <rFont val="Arial"/>
        <family val="2"/>
        <scheme val="minor"/>
      </rPr>
      <t xml:space="preserve">, </t>
    </r>
    <r>
      <rPr>
        <sz val="10"/>
        <color rgb="FFE5CFF2"/>
        <rFont val="Arial"/>
        <family val="2"/>
        <scheme val="minor"/>
      </rPr>
      <t>7. Địa điểm &amp; Nơi chốn</t>
    </r>
  </si>
  <si>
    <t>ông nội</t>
  </si>
  <si>
    <t>Một lúc</t>
  </si>
  <si>
    <t>đã</t>
  </si>
  <si>
    <t>bởi vì</t>
  </si>
  <si>
    <t>Thỉnh thoảng</t>
  </si>
  <si>
    <t>Phải</t>
  </si>
  <si>
    <t>cá</t>
  </si>
  <si>
    <t>Xa</t>
  </si>
  <si>
    <t>chồng</t>
  </si>
  <si>
    <t>tuần</t>
  </si>
  <si>
    <t>Chuẩn bị</t>
  </si>
  <si>
    <t>tự thân</t>
  </si>
  <si>
    <t>đi bộ</t>
  </si>
  <si>
    <t>bóng đá</t>
  </si>
  <si>
    <t>hầu hết</t>
  </si>
  <si>
    <t>Bên trái</t>
  </si>
  <si>
    <t>gói lại</t>
  </si>
  <si>
    <t>出</t>
  </si>
  <si>
    <t>chū</t>
  </si>
  <si>
    <t>ra</t>
  </si>
  <si>
    <t>红茶</t>
  </si>
  <si>
    <t>hóngchá</t>
  </si>
  <si>
    <t>hồng trà</t>
  </si>
  <si>
    <t>绿茶</t>
  </si>
  <si>
    <t>lǜchá</t>
  </si>
  <si>
    <t>trà xanh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</si>
</sst>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,m\,yy"/>
  </numFmts>
  <fonts count="35">
    <font>
      <sz val="10"/>
      <color rgb="FF000000"/>
      <name val="Arial"/>
      <scheme val="minor"/>
    </font>
    <font>
      <b/>
      <sz val="12"/>
      <color rgb="FF980000"/>
      <name val="Arial"/>
      <scheme val="minor"/>
    </font>
    <font>
      <b/>
      <sz val="10"/>
      <color rgb="FF980000"/>
      <name val="Arial"/>
      <scheme val="minor"/>
    </font>
    <font>
      <sz val="10"/>
      <name val="Arial"/>
    </font>
    <font>
      <sz val="10"/>
      <color theme="1"/>
      <name val="Arial"/>
      <scheme val="minor"/>
    </font>
    <font>
      <sz val="10"/>
      <color theme="1"/>
      <name val="Arial"/>
    </font>
    <font>
      <sz val="11"/>
      <color rgb="FF000000"/>
      <name val="Arial"/>
    </font>
    <font>
      <b/>
      <sz val="10"/>
      <color theme="1"/>
      <name val="Arial"/>
      <scheme val="minor"/>
    </font>
    <font>
      <sz val="11"/>
      <color rgb="FF000000"/>
      <name val="&quot;Aptos Narrow&quot;"/>
    </font>
    <font>
      <sz val="14"/>
      <color rgb="FF595959"/>
      <name val="Nunito"/>
    </font>
    <font>
      <sz val="12"/>
      <color theme="1"/>
      <name val="&quot;Microsoft YaHei Light&quot;"/>
    </font>
    <font>
      <sz val="10"/>
      <color theme="1"/>
      <name val="&quot;Google Sans Text&quot;"/>
    </font>
    <font>
      <b/>
      <sz val="10"/>
      <color theme="1"/>
      <name val="&quot;Google Sans Text&quot;"/>
    </font>
    <font>
      <sz val="11"/>
      <color theme="1"/>
      <name val="Arial"/>
      <scheme val="minor"/>
    </font>
    <font>
      <sz val="11"/>
      <color rgb="FF000000"/>
      <name val="Arial"/>
      <scheme val="minor"/>
    </font>
    <font>
      <sz val="10"/>
      <color theme="1"/>
      <name val="DengXian"/>
    </font>
    <font>
      <sz val="10"/>
      <color rgb="FF000000"/>
      <name val="Arial"/>
    </font>
    <font>
      <sz val="10"/>
      <color rgb="FF000000"/>
      <name val="Arial"/>
      <family val="2"/>
      <scheme val="minor"/>
    </font>
    <font>
      <sz val="10"/>
      <color rgb="FFFFC8AA"/>
      <name val="Arial"/>
      <family val="2"/>
      <scheme val="minor"/>
    </font>
    <font>
      <sz val="10"/>
      <color rgb="FFB10202"/>
      <name val="Arial"/>
      <family val="2"/>
      <scheme val="minor"/>
    </font>
    <font>
      <sz val="10"/>
      <color rgb="FF753800"/>
      <name val="Arial"/>
      <family val="2"/>
      <scheme val="minor"/>
    </font>
    <font>
      <sz val="10"/>
      <color rgb="FF215A6C"/>
      <name val="Arial"/>
      <family val="2"/>
      <scheme val="minor"/>
    </font>
    <font>
      <sz val="10"/>
      <color rgb="FFBFE0F6"/>
      <name val="Arial"/>
      <family val="2"/>
      <scheme val="minor"/>
    </font>
    <font>
      <sz val="10"/>
      <color rgb="FFE5CFF2"/>
      <name val="Arial"/>
      <family val="2"/>
      <scheme val="minor"/>
    </font>
    <font>
      <sz val="10"/>
      <color rgb="FF0A53A8"/>
      <name val="Arial"/>
      <family val="2"/>
      <scheme val="minor"/>
    </font>
    <font>
      <sz val="10"/>
      <color rgb="FFC6DBE1"/>
      <name val="Arial"/>
      <family val="2"/>
      <scheme val="minor"/>
    </font>
    <font>
      <sz val="10"/>
      <color rgb="FF5A3286"/>
      <name val="Arial"/>
      <family val="2"/>
      <scheme val="minor"/>
    </font>
    <font>
      <sz val="10"/>
      <color rgb="FF473821"/>
      <name val="Arial"/>
      <family val="2"/>
      <scheme val="minor"/>
    </font>
    <font>
      <sz val="10"/>
      <color rgb="FFFFCFC9"/>
      <name val="Arial"/>
      <family val="2"/>
      <scheme val="minor"/>
    </font>
    <font>
      <sz val="10"/>
      <color rgb="FFFFE5A0"/>
      <name val="Arial"/>
      <family val="2"/>
      <scheme val="minor"/>
    </font>
    <font>
      <sz val="10"/>
      <color rgb="FFE5E5E5"/>
      <name val="Arial"/>
      <family val="2"/>
      <scheme val="minor"/>
    </font>
    <font>
      <sz val="10"/>
      <color rgb="FF11734B"/>
      <name val="Arial"/>
      <family val="2"/>
      <scheme val="minor"/>
    </font>
    <font>
      <sz val="10"/>
      <color rgb="FF3E4186"/>
      <name val="Arial"/>
      <family val="2"/>
      <scheme val="minor"/>
    </font>
    <font>
      <sz val="10"/>
      <color rgb="FF3D3D3D"/>
      <name val="Arial"/>
      <family val="2"/>
      <scheme val="minor"/>
    </font>
    <font>
      <sz val="10"/>
      <color rgb="FFD4EDBC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AE3D4"/>
        <bgColor rgb="FFFAE3D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/>
      <top/>
      <bottom style="thin">
        <color rgb="FFF4AF83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rgb="FF999999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999999"/>
      </left>
      <right/>
      <top/>
      <bottom/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0" fontId="4" fillId="0" borderId="1" xfId="0" applyFont="1" applyBorder="1"/>
    <xf numFmtId="0" fontId="6" fillId="0" borderId="1" xfId="0" applyFont="1" applyBorder="1"/>
    <xf numFmtId="0" fontId="4" fillId="0" borderId="1" xfId="0" applyFont="1" applyBorder="1" applyAlignment="1">
      <alignment wrapText="1"/>
    </xf>
    <xf numFmtId="0" fontId="4" fillId="0" borderId="4" xfId="0" applyFont="1" applyBorder="1"/>
    <xf numFmtId="0" fontId="8" fillId="0" borderId="1" xfId="0" applyFont="1" applyBorder="1"/>
    <xf numFmtId="0" fontId="4" fillId="0" borderId="0" xfId="0" applyFont="1"/>
    <xf numFmtId="0" fontId="5" fillId="0" borderId="1" xfId="0" applyFont="1" applyBorder="1" applyAlignment="1">
      <alignment wrapText="1"/>
    </xf>
    <xf numFmtId="0" fontId="4" fillId="4" borderId="1" xfId="0" applyFont="1" applyFill="1" applyBorder="1"/>
    <xf numFmtId="0" fontId="5" fillId="0" borderId="1" xfId="0" applyFont="1" applyBorder="1" applyAlignment="1">
      <alignment horizontal="right" wrapText="1"/>
    </xf>
    <xf numFmtId="164" fontId="5" fillId="0" borderId="1" xfId="0" applyNumberFormat="1" applyFont="1" applyBorder="1" applyAlignment="1">
      <alignment horizontal="right" wrapText="1"/>
    </xf>
    <xf numFmtId="0" fontId="9" fillId="4" borderId="1" xfId="0" applyFont="1" applyFill="1" applyBorder="1"/>
    <xf numFmtId="0" fontId="4" fillId="0" borderId="0" xfId="0" applyFont="1" applyAlignment="1">
      <alignment horizontal="center"/>
    </xf>
    <xf numFmtId="0" fontId="4" fillId="0" borderId="0" xfId="0" applyFont="1" applyAlignment="1">
      <alignment wrapText="1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5" fillId="0" borderId="0" xfId="0" applyFont="1"/>
    <xf numFmtId="0" fontId="4" fillId="4" borderId="0" xfId="0" applyFont="1" applyFill="1"/>
    <xf numFmtId="0" fontId="4" fillId="0" borderId="4" xfId="0" applyFont="1" applyBorder="1" applyAlignment="1">
      <alignment horizontal="center"/>
    </xf>
    <xf numFmtId="0" fontId="11" fillId="0" borderId="0" xfId="0" applyFont="1"/>
    <xf numFmtId="0" fontId="10" fillId="0" borderId="8" xfId="0" applyFont="1" applyBorder="1" applyAlignment="1">
      <alignment horizontal="center" vertical="top"/>
    </xf>
    <xf numFmtId="0" fontId="12" fillId="0" borderId="0" xfId="0" applyFont="1"/>
    <xf numFmtId="0" fontId="4" fillId="0" borderId="1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4" fillId="0" borderId="4" xfId="0" applyFont="1" applyBorder="1" applyAlignment="1">
      <alignment wrapText="1"/>
    </xf>
    <xf numFmtId="0" fontId="1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center"/>
    </xf>
    <xf numFmtId="0" fontId="9" fillId="4" borderId="0" xfId="0" applyFont="1" applyFill="1"/>
    <xf numFmtId="0" fontId="16" fillId="0" borderId="4" xfId="0" applyFont="1" applyBorder="1"/>
    <xf numFmtId="0" fontId="2" fillId="3" borderId="2" xfId="0" applyFont="1" applyFill="1" applyBorder="1" applyAlignment="1">
      <alignment horizontal="center" vertical="center"/>
    </xf>
    <xf numFmtId="0" fontId="3" fillId="0" borderId="3" xfId="0" applyFont="1" applyBorder="1"/>
    <xf numFmtId="0" fontId="7" fillId="0" borderId="5" xfId="0" applyFont="1" applyBorder="1" applyAlignment="1">
      <alignment horizontal="center" vertical="center"/>
    </xf>
    <xf numFmtId="0" fontId="3" fillId="0" borderId="6" xfId="0" applyFont="1" applyBorder="1"/>
    <xf numFmtId="0" fontId="3" fillId="0" borderId="7" xfId="0" applyFont="1" applyBorder="1"/>
    <xf numFmtId="0" fontId="2" fillId="3" borderId="9" xfId="0" applyFont="1" applyFill="1" applyBorder="1" applyAlignment="1">
      <alignment horizontal="center" vertical="center"/>
    </xf>
    <xf numFmtId="0" fontId="3" fillId="0" borderId="10" xfId="0" applyFont="1" applyBorder="1"/>
    <xf numFmtId="0" fontId="7" fillId="0" borderId="11" xfId="0" applyFont="1" applyBorder="1" applyAlignment="1">
      <alignment horizontal="center" vertical="center"/>
    </xf>
    <xf numFmtId="0" fontId="3" fillId="0" borderId="12" xfId="0" applyFont="1" applyBorder="1"/>
    <xf numFmtId="0" fontId="3" fillId="0" borderId="13" xfId="0" applyFont="1" applyBorder="1"/>
    <xf numFmtId="0" fontId="17" fillId="0" borderId="14" xfId="0" applyFont="1" applyBorder="1" applyAlignment="1">
      <alignment horizontal="center" wrapText="1"/>
    </xf>
    <xf numFmtId="0" fontId="17" fillId="0" borderId="15" xfId="0" applyFont="1" applyBorder="1" applyAlignment="1">
      <alignment horizontal="right" wrapText="1"/>
    </xf>
    <xf numFmtId="0" fontId="17" fillId="0" borderId="15" xfId="0" applyFont="1" applyBorder="1" applyAlignment="1">
      <alignment wrapText="1"/>
    </xf>
    <xf numFmtId="0" fontId="17" fillId="6" borderId="15" xfId="0" applyFont="1" applyFill="1" applyBorder="1" applyAlignment="1">
      <alignment wrapText="1"/>
    </xf>
    <xf numFmtId="0" fontId="18" fillId="0" borderId="15" xfId="0" applyFont="1" applyBorder="1" applyAlignment="1">
      <alignment wrapText="1"/>
    </xf>
    <xf numFmtId="0" fontId="17" fillId="0" borderId="16" xfId="0" applyFont="1" applyBorder="1" applyAlignment="1">
      <alignment horizontal="center" wrapText="1"/>
    </xf>
    <xf numFmtId="0" fontId="17" fillId="0" borderId="17" xfId="0" applyFont="1" applyBorder="1" applyAlignment="1">
      <alignment horizontal="right" wrapText="1"/>
    </xf>
    <xf numFmtId="0" fontId="17" fillId="0" borderId="17" xfId="0" applyFont="1" applyBorder="1" applyAlignment="1">
      <alignment wrapText="1"/>
    </xf>
    <xf numFmtId="0" fontId="19" fillId="0" borderId="17" xfId="0" applyFont="1" applyBorder="1" applyAlignment="1">
      <alignment wrapText="1"/>
    </xf>
    <xf numFmtId="0" fontId="17" fillId="7" borderId="16" xfId="0" applyFont="1" applyFill="1" applyBorder="1" applyAlignment="1">
      <alignment horizontal="center" wrapText="1"/>
    </xf>
    <xf numFmtId="0" fontId="20" fillId="0" borderId="17" xfId="0" applyFont="1" applyBorder="1" applyAlignment="1">
      <alignment wrapText="1"/>
    </xf>
    <xf numFmtId="0" fontId="21" fillId="0" borderId="17" xfId="0" applyFont="1" applyBorder="1" applyAlignment="1">
      <alignment wrapText="1"/>
    </xf>
    <xf numFmtId="0" fontId="23" fillId="0" borderId="17" xfId="0" applyFont="1" applyBorder="1" applyAlignment="1">
      <alignment wrapText="1"/>
    </xf>
    <xf numFmtId="0" fontId="24" fillId="0" borderId="17" xfId="0" applyFont="1" applyBorder="1" applyAlignment="1">
      <alignment wrapText="1"/>
    </xf>
    <xf numFmtId="0" fontId="26" fillId="0" borderId="17" xfId="0" applyFont="1" applyBorder="1" applyAlignment="1">
      <alignment wrapText="1"/>
    </xf>
    <xf numFmtId="0" fontId="27" fillId="0" borderId="17" xfId="0" applyFont="1" applyBorder="1" applyAlignment="1">
      <alignment wrapText="1"/>
    </xf>
    <xf numFmtId="0" fontId="28" fillId="0" borderId="17" xfId="0" applyFont="1" applyBorder="1" applyAlignment="1">
      <alignment wrapText="1"/>
    </xf>
    <xf numFmtId="0" fontId="17" fillId="6" borderId="17" xfId="0" applyFont="1" applyFill="1" applyBorder="1" applyAlignment="1">
      <alignment wrapText="1"/>
    </xf>
    <xf numFmtId="0" fontId="25" fillId="0" borderId="17" xfId="0" applyFont="1" applyBorder="1" applyAlignment="1">
      <alignment wrapText="1"/>
    </xf>
    <xf numFmtId="0" fontId="30" fillId="0" borderId="17" xfId="0" applyFont="1" applyBorder="1" applyAlignment="1">
      <alignment wrapText="1"/>
    </xf>
    <xf numFmtId="0" fontId="18" fillId="0" borderId="17" xfId="0" applyFont="1" applyBorder="1" applyAlignment="1">
      <alignment wrapText="1"/>
    </xf>
    <xf numFmtId="0" fontId="31" fillId="0" borderId="17" xfId="0" applyFont="1" applyBorder="1" applyAlignment="1">
      <alignment wrapText="1"/>
    </xf>
    <xf numFmtId="0" fontId="22" fillId="0" borderId="17" xfId="0" applyFont="1" applyBorder="1" applyAlignment="1">
      <alignment wrapText="1"/>
    </xf>
    <xf numFmtId="0" fontId="29" fillId="0" borderId="17" xfId="0" applyFont="1" applyBorder="1" applyAlignment="1">
      <alignment wrapText="1"/>
    </xf>
    <xf numFmtId="0" fontId="17" fillId="6" borderId="16" xfId="0" applyFont="1" applyFill="1" applyBorder="1" applyAlignment="1">
      <alignment horizontal="center" wrapText="1"/>
    </xf>
    <xf numFmtId="0" fontId="17" fillId="6" borderId="17" xfId="0" applyFont="1" applyFill="1" applyBorder="1" applyAlignment="1">
      <alignment horizontal="right" wrapText="1"/>
    </xf>
    <xf numFmtId="0" fontId="19" fillId="6" borderId="17" xfId="0" applyFont="1" applyFill="1" applyBorder="1" applyAlignment="1">
      <alignment wrapText="1"/>
    </xf>
    <xf numFmtId="0" fontId="32" fillId="0" borderId="17" xfId="0" applyFont="1" applyBorder="1" applyAlignment="1">
      <alignment wrapText="1"/>
    </xf>
    <xf numFmtId="0" fontId="33" fillId="0" borderId="17" xfId="0" applyFont="1" applyBorder="1" applyAlignment="1">
      <alignment wrapText="1"/>
    </xf>
    <xf numFmtId="0" fontId="34" fillId="0" borderId="17" xfId="0" applyFont="1" applyBorder="1" applyAlignment="1">
      <alignment wrapText="1"/>
    </xf>
    <xf numFmtId="0" fontId="10" fillId="5" borderId="18" xfId="0" applyFont="1" applyFill="1" applyBorder="1" applyAlignment="1">
      <alignment vertical="top"/>
    </xf>
    <xf numFmtId="0" fontId="10" fillId="5" borderId="19" xfId="0" applyFont="1" applyFill="1" applyBorder="1" applyAlignment="1">
      <alignment vertical="top"/>
    </xf>
    <xf numFmtId="0" fontId="10" fillId="5" borderId="20" xfId="0" applyFont="1" applyFill="1" applyBorder="1" applyAlignment="1">
      <alignment vertical="top"/>
    </xf>
    <xf numFmtId="0" fontId="10" fillId="5" borderId="0" xfId="0" applyFon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1</xdr:row>
      <xdr:rowOff>0</xdr:rowOff>
    </xdr:from>
    <xdr:ext cx="3629025" cy="1876425"/>
    <xdr:pic>
      <xdr:nvPicPr>
        <xdr:cNvPr id="2" name="image1.png" title="Hình ảnh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L997"/>
  <sheetViews>
    <sheetView workbookViewId="0"/>
  </sheetViews>
  <sheetFormatPr defaultColWidth="12.6640625" defaultRowHeight="15.75" customHeight="1"/>
  <cols>
    <col min="1" max="1" width="5.6640625" customWidth="1"/>
    <col min="2" max="2" width="8.109375" hidden="1" customWidth="1"/>
    <col min="3" max="3" width="19" hidden="1" customWidth="1"/>
    <col min="5" max="5" width="20.88671875" customWidth="1"/>
    <col min="6" max="6" width="14.33203125" customWidth="1"/>
    <col min="7" max="7" width="25.109375" customWidth="1"/>
    <col min="8" max="8" width="26.88671875" customWidth="1"/>
    <col min="10" max="10" width="6.77734375" customWidth="1"/>
  </cols>
  <sheetData>
    <row r="1" spans="1:12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1" t="s">
        <v>8</v>
      </c>
      <c r="K1" s="36" t="s">
        <v>9</v>
      </c>
      <c r="L1" s="37"/>
    </row>
    <row r="2" spans="1:12">
      <c r="A2" s="4">
        <v>1</v>
      </c>
      <c r="B2" s="5">
        <v>15</v>
      </c>
      <c r="C2" s="6" t="s">
        <v>10</v>
      </c>
      <c r="D2" s="7" t="s">
        <v>11</v>
      </c>
      <c r="E2" s="6" t="s">
        <v>12</v>
      </c>
      <c r="F2" s="5" t="s">
        <v>13</v>
      </c>
      <c r="G2" s="8" t="s">
        <v>14</v>
      </c>
      <c r="H2" s="9" t="s">
        <v>15</v>
      </c>
      <c r="I2" s="6"/>
      <c r="K2" s="38" t="s">
        <v>16</v>
      </c>
      <c r="L2" s="9"/>
    </row>
    <row r="3" spans="1:12">
      <c r="A3" s="4">
        <v>2</v>
      </c>
      <c r="B3" s="5">
        <v>4</v>
      </c>
      <c r="C3" s="6" t="s">
        <v>17</v>
      </c>
      <c r="D3" s="10" t="s">
        <v>18</v>
      </c>
      <c r="E3" s="6" t="s">
        <v>19</v>
      </c>
      <c r="F3" s="5" t="s">
        <v>20</v>
      </c>
      <c r="G3" s="8" t="str">
        <f ca="1">IFERROR(__xludf.DUMMYFUNCTION("GOOGLETRANSLATE(D3,""zh"",""vi"")"),"tám")</f>
        <v>tám</v>
      </c>
      <c r="H3" s="9" t="s">
        <v>21</v>
      </c>
      <c r="I3" s="6"/>
      <c r="K3" s="39"/>
      <c r="L3" s="9"/>
    </row>
    <row r="4" spans="1:12">
      <c r="A4" s="4">
        <v>3</v>
      </c>
      <c r="B4" s="5">
        <v>4</v>
      </c>
      <c r="C4" s="6" t="s">
        <v>17</v>
      </c>
      <c r="D4" s="10" t="s">
        <v>22</v>
      </c>
      <c r="E4" s="6" t="s">
        <v>23</v>
      </c>
      <c r="F4" s="5" t="s">
        <v>24</v>
      </c>
      <c r="G4" s="8" t="str">
        <f ca="1">IFERROR(__xludf.DUMMYFUNCTION("GOOGLETRANSLATE(D4,""zh"",""vi"")"),"bố")</f>
        <v>bố</v>
      </c>
      <c r="H4" s="9" t="s">
        <v>7</v>
      </c>
      <c r="I4" s="6"/>
      <c r="K4" s="39"/>
      <c r="L4" s="9"/>
    </row>
    <row r="5" spans="1:12">
      <c r="A5" s="4">
        <v>4</v>
      </c>
      <c r="B5" s="5">
        <v>7</v>
      </c>
      <c r="C5" s="6" t="s">
        <v>25</v>
      </c>
      <c r="D5" s="10" t="s">
        <v>26</v>
      </c>
      <c r="E5" s="6" t="s">
        <v>27</v>
      </c>
      <c r="F5" s="5" t="s">
        <v>28</v>
      </c>
      <c r="G5" s="8" t="s">
        <v>29</v>
      </c>
      <c r="H5" s="9" t="s">
        <v>30</v>
      </c>
      <c r="I5" s="6"/>
      <c r="K5" s="39"/>
      <c r="L5" s="9"/>
    </row>
    <row r="6" spans="1:12">
      <c r="A6" s="4">
        <v>5</v>
      </c>
      <c r="B6" s="5">
        <v>9</v>
      </c>
      <c r="C6" s="6" t="s">
        <v>31</v>
      </c>
      <c r="D6" s="7" t="s">
        <v>32</v>
      </c>
      <c r="E6" s="6" t="s">
        <v>23</v>
      </c>
      <c r="F6" s="5" t="s">
        <v>33</v>
      </c>
      <c r="G6" s="8" t="str">
        <f ca="1">IFERROR(__xludf.DUMMYFUNCTION("GOOGLETRANSLATE(D6,""zh"",""vi"")"),"ban ngày")</f>
        <v>ban ngày</v>
      </c>
      <c r="H6" s="9" t="s">
        <v>34</v>
      </c>
      <c r="I6" s="6"/>
      <c r="K6" s="39"/>
      <c r="L6" s="9"/>
    </row>
    <row r="7" spans="1:12">
      <c r="A7" s="4">
        <v>6</v>
      </c>
      <c r="B7" s="5">
        <v>4</v>
      </c>
      <c r="C7" s="6" t="s">
        <v>17</v>
      </c>
      <c r="D7" s="10" t="s">
        <v>35</v>
      </c>
      <c r="E7" s="6" t="s">
        <v>19</v>
      </c>
      <c r="F7" s="5" t="s">
        <v>36</v>
      </c>
      <c r="G7" s="8" t="str">
        <f ca="1">IFERROR(__xludf.DUMMYFUNCTION("GOOGLETRANSLATE(D7,""zh"",""vi"")"),"Một trăm")</f>
        <v>Một trăm</v>
      </c>
      <c r="H7" s="9" t="s">
        <v>21</v>
      </c>
      <c r="I7" s="6"/>
      <c r="K7" s="40"/>
      <c r="L7" s="9"/>
    </row>
    <row r="8" spans="1:12">
      <c r="A8" s="4">
        <v>7</v>
      </c>
      <c r="B8" s="5">
        <v>7</v>
      </c>
      <c r="C8" s="6" t="s">
        <v>25</v>
      </c>
      <c r="D8" s="10" t="s">
        <v>37</v>
      </c>
      <c r="E8" s="6" t="s">
        <v>19</v>
      </c>
      <c r="F8" s="5" t="s">
        <v>38</v>
      </c>
      <c r="G8" s="8" t="str">
        <f ca="1">IFERROR(__xludf.DUMMYFUNCTION("GOOGLETRANSLATE(D8,""zh"",""vi"")"),"Một nửa")</f>
        <v>Một nửa</v>
      </c>
      <c r="H8" s="9" t="s">
        <v>21</v>
      </c>
      <c r="I8" s="6"/>
    </row>
    <row r="9" spans="1:12">
      <c r="A9" s="4">
        <v>8</v>
      </c>
      <c r="B9" s="5">
        <v>6</v>
      </c>
      <c r="C9" s="6" t="s">
        <v>39</v>
      </c>
      <c r="D9" s="7" t="s">
        <v>40</v>
      </c>
      <c r="E9" s="6" t="s">
        <v>23</v>
      </c>
      <c r="F9" s="5" t="s">
        <v>41</v>
      </c>
      <c r="G9" s="8" t="str">
        <f ca="1">IFERROR(__xludf.DUMMYFUNCTION("GOOGLETRANSLATE(D9,""zh"",""vi"")"),"bánh bao hấp nhân")</f>
        <v>bánh bao hấp nhân</v>
      </c>
      <c r="H9" s="9" t="s">
        <v>42</v>
      </c>
      <c r="I9" s="6"/>
    </row>
    <row r="10" spans="1:12">
      <c r="A10" s="4">
        <v>9</v>
      </c>
      <c r="B10" s="5">
        <v>13</v>
      </c>
      <c r="C10" s="6" t="s">
        <v>43</v>
      </c>
      <c r="D10" s="7" t="s">
        <v>44</v>
      </c>
      <c r="E10" s="6" t="s">
        <v>45</v>
      </c>
      <c r="F10" s="5" t="s">
        <v>46</v>
      </c>
      <c r="G10" s="8" t="s">
        <v>47</v>
      </c>
      <c r="H10" s="9" t="s">
        <v>48</v>
      </c>
      <c r="I10" s="6"/>
    </row>
    <row r="11" spans="1:12">
      <c r="A11" s="4">
        <v>10</v>
      </c>
      <c r="B11" s="5">
        <v>10</v>
      </c>
      <c r="C11" s="6" t="s">
        <v>49</v>
      </c>
      <c r="D11" s="10" t="s">
        <v>50</v>
      </c>
      <c r="E11" s="6" t="s">
        <v>23</v>
      </c>
      <c r="F11" s="5" t="s">
        <v>51</v>
      </c>
      <c r="G11" s="8" t="s">
        <v>52</v>
      </c>
      <c r="H11" s="9" t="s">
        <v>48</v>
      </c>
      <c r="I11" s="6"/>
    </row>
    <row r="12" spans="1:12">
      <c r="A12" s="4">
        <v>11</v>
      </c>
      <c r="B12" s="5">
        <v>9</v>
      </c>
      <c r="C12" s="6" t="s">
        <v>31</v>
      </c>
      <c r="D12" s="10" t="s">
        <v>53</v>
      </c>
      <c r="E12" s="6" t="s">
        <v>54</v>
      </c>
      <c r="F12" s="5" t="s">
        <v>55</v>
      </c>
      <c r="G12" s="8" t="s">
        <v>56</v>
      </c>
      <c r="H12" s="9" t="s">
        <v>21</v>
      </c>
      <c r="I12" s="6"/>
    </row>
    <row r="13" spans="1:12">
      <c r="A13" s="4">
        <v>12</v>
      </c>
      <c r="B13" s="5">
        <v>9</v>
      </c>
      <c r="C13" s="6" t="s">
        <v>31</v>
      </c>
      <c r="D13" s="7" t="s">
        <v>57</v>
      </c>
      <c r="E13" s="6" t="s">
        <v>58</v>
      </c>
      <c r="F13" s="5" t="s">
        <v>59</v>
      </c>
      <c r="G13" s="8" t="str">
        <f ca="1">IFERROR(__xludf.DUMMYFUNCTION("GOOGLETRANSLATE(D13,""zh"",""vi"")"),"bên")</f>
        <v>bên</v>
      </c>
      <c r="H13" s="9" t="s">
        <v>60</v>
      </c>
      <c r="I13" s="6"/>
    </row>
    <row r="14" spans="1:12">
      <c r="A14" s="4">
        <v>13</v>
      </c>
      <c r="B14" s="5">
        <v>12</v>
      </c>
      <c r="C14" s="6" t="s">
        <v>61</v>
      </c>
      <c r="D14" s="7" t="s">
        <v>62</v>
      </c>
      <c r="E14" s="6" t="s">
        <v>12</v>
      </c>
      <c r="F14" s="5" t="s">
        <v>63</v>
      </c>
      <c r="G14" s="8" t="str">
        <f ca="1">IFERROR(__xludf.DUMMYFUNCTION("GOOGLETRANSLATE(D14,""zh"",""vi"")"),"đau ốm")</f>
        <v>đau ốm</v>
      </c>
      <c r="H14" s="9" t="s">
        <v>64</v>
      </c>
      <c r="I14" s="6"/>
    </row>
    <row r="15" spans="1:12">
      <c r="A15" s="4">
        <v>14</v>
      </c>
      <c r="B15" s="5">
        <v>8</v>
      </c>
      <c r="C15" s="6" t="s">
        <v>65</v>
      </c>
      <c r="D15" s="10" t="s">
        <v>66</v>
      </c>
      <c r="E15" s="6" t="s">
        <v>23</v>
      </c>
      <c r="F15" s="5" t="s">
        <v>67</v>
      </c>
      <c r="G15" s="8" t="s">
        <v>68</v>
      </c>
      <c r="H15" s="9" t="s">
        <v>64</v>
      </c>
      <c r="I15" s="6"/>
    </row>
    <row r="16" spans="1:12">
      <c r="A16" s="4">
        <v>15</v>
      </c>
      <c r="B16" s="5">
        <v>1</v>
      </c>
      <c r="C16" s="6" t="s">
        <v>69</v>
      </c>
      <c r="D16" s="10" t="s">
        <v>70</v>
      </c>
      <c r="E16" s="6"/>
      <c r="F16" s="5" t="s">
        <v>71</v>
      </c>
      <c r="G16" s="8" t="str">
        <f ca="1">IFERROR(__xludf.DUMMYFUNCTION("GOOGLETRANSLATE(D16,""zh"",""vi"")"),"Không có gì")</f>
        <v>Không có gì</v>
      </c>
      <c r="H16" s="9" t="s">
        <v>30</v>
      </c>
      <c r="I16" s="6"/>
      <c r="K16" s="11"/>
    </row>
    <row r="17" spans="1:9">
      <c r="A17" s="4">
        <v>16</v>
      </c>
      <c r="B17" s="5">
        <v>14</v>
      </c>
      <c r="C17" s="6" t="s">
        <v>72</v>
      </c>
      <c r="D17" s="7" t="s">
        <v>73</v>
      </c>
      <c r="E17" s="6" t="s">
        <v>74</v>
      </c>
      <c r="F17" s="5" t="s">
        <v>75</v>
      </c>
      <c r="G17" s="8" t="str">
        <f ca="1">IFERROR(__xludf.DUMMYFUNCTION("GOOGLETRANSLATE(D17,""zh"",""vi"")"),"không muốn")</f>
        <v>không muốn</v>
      </c>
      <c r="H17" s="9" t="s">
        <v>30</v>
      </c>
      <c r="I17" s="6"/>
    </row>
    <row r="18" spans="1:9">
      <c r="A18" s="4">
        <v>17</v>
      </c>
      <c r="B18" s="5">
        <v>2</v>
      </c>
      <c r="C18" s="6" t="s">
        <v>76</v>
      </c>
      <c r="D18" s="10" t="s">
        <v>77</v>
      </c>
      <c r="E18" s="6" t="s">
        <v>74</v>
      </c>
      <c r="F18" s="5" t="s">
        <v>78</v>
      </c>
      <c r="G18" s="8" t="str">
        <f ca="1">IFERROR(__xludf.DUMMYFUNCTION("GOOGLETRANSLATE(D18,""zh"",""vi"")"),"KHÔNG")</f>
        <v>KHÔNG</v>
      </c>
      <c r="H18" s="9" t="s">
        <v>30</v>
      </c>
      <c r="I18" s="6"/>
    </row>
    <row r="19" spans="1:9">
      <c r="A19" s="4">
        <v>18</v>
      </c>
      <c r="B19" s="5">
        <v>5.7</v>
      </c>
      <c r="C19" s="6" t="s">
        <v>79</v>
      </c>
      <c r="D19" s="7" t="s">
        <v>80</v>
      </c>
      <c r="E19" s="6" t="s">
        <v>23</v>
      </c>
      <c r="F19" s="5" t="s">
        <v>81</v>
      </c>
      <c r="G19" s="8" t="s">
        <v>82</v>
      </c>
      <c r="H19" s="9" t="s">
        <v>42</v>
      </c>
      <c r="I19" s="6"/>
    </row>
    <row r="20" spans="1:9">
      <c r="A20" s="4">
        <v>19</v>
      </c>
      <c r="B20" s="5">
        <v>13</v>
      </c>
      <c r="C20" s="6" t="s">
        <v>43</v>
      </c>
      <c r="D20" s="10" t="s">
        <v>83</v>
      </c>
      <c r="E20" s="6" t="s">
        <v>23</v>
      </c>
      <c r="F20" s="5" t="s">
        <v>84</v>
      </c>
      <c r="G20" s="8" t="str">
        <f ca="1">IFERROR(__xludf.DUMMYFUNCTION("GOOGLETRANSLATE(D20,""zh"",""vi"")"),"Trà")</f>
        <v>Trà</v>
      </c>
      <c r="H20" s="9" t="s">
        <v>42</v>
      </c>
      <c r="I20" s="6"/>
    </row>
    <row r="21" spans="1:9">
      <c r="A21" s="4">
        <v>20</v>
      </c>
      <c r="B21" s="5">
        <v>9</v>
      </c>
      <c r="C21" s="6" t="s">
        <v>31</v>
      </c>
      <c r="D21" s="7" t="s">
        <v>85</v>
      </c>
      <c r="E21" s="6" t="s">
        <v>12</v>
      </c>
      <c r="F21" s="5" t="s">
        <v>86</v>
      </c>
      <c r="G21" s="8" t="str">
        <f ca="1">IFERROR(__xludf.DUMMYFUNCTION("GOOGLETRANSLATE(D21,""zh"",""vi"")"),"Hát")</f>
        <v>Hát</v>
      </c>
      <c r="H21" s="9" t="s">
        <v>87</v>
      </c>
      <c r="I21" s="6"/>
    </row>
    <row r="22" spans="1:9">
      <c r="A22" s="4">
        <v>21</v>
      </c>
      <c r="B22" s="5">
        <v>6</v>
      </c>
      <c r="C22" s="6" t="s">
        <v>39</v>
      </c>
      <c r="D22" s="7" t="s">
        <v>88</v>
      </c>
      <c r="E22" s="6" t="s">
        <v>23</v>
      </c>
      <c r="F22" s="5" t="s">
        <v>89</v>
      </c>
      <c r="G22" s="8" t="str">
        <f ca="1">IFERROR(__xludf.DUMMYFUNCTION("GOOGLETRANSLATE(D22,""zh"",""vi"")"),"siêu thị")</f>
        <v>siêu thị</v>
      </c>
      <c r="H22" s="9" t="s">
        <v>90</v>
      </c>
      <c r="I22" s="6"/>
    </row>
    <row r="23" spans="1:9">
      <c r="A23" s="4">
        <v>22</v>
      </c>
      <c r="B23" s="5">
        <v>11</v>
      </c>
      <c r="C23" s="6" t="s">
        <v>91</v>
      </c>
      <c r="D23" s="10" t="s">
        <v>92</v>
      </c>
      <c r="E23" s="6" t="s">
        <v>23</v>
      </c>
      <c r="F23" s="5" t="s">
        <v>93</v>
      </c>
      <c r="G23" s="8" t="str">
        <f ca="1">IFERROR(__xludf.DUMMYFUNCTION("GOOGLETRANSLATE(D23,""zh"",""vi"")"),"xe hơi")</f>
        <v>xe hơi</v>
      </c>
      <c r="H23" s="9" t="s">
        <v>94</v>
      </c>
      <c r="I23" s="6"/>
    </row>
    <row r="24" spans="1:9">
      <c r="A24" s="4">
        <v>23</v>
      </c>
      <c r="B24" s="5">
        <v>6</v>
      </c>
      <c r="C24" s="6" t="s">
        <v>39</v>
      </c>
      <c r="D24" s="10" t="s">
        <v>95</v>
      </c>
      <c r="E24" s="6" t="s">
        <v>12</v>
      </c>
      <c r="F24" s="5" t="s">
        <v>96</v>
      </c>
      <c r="G24" s="8" t="str">
        <f ca="1">IFERROR(__xludf.DUMMYFUNCTION("GOOGLETRANSLATE(D24,""zh"",""vi"")"),"ăn")</f>
        <v>ăn</v>
      </c>
      <c r="H24" s="9" t="s">
        <v>87</v>
      </c>
      <c r="I24" s="6"/>
    </row>
    <row r="25" spans="1:9">
      <c r="A25" s="4">
        <v>24</v>
      </c>
      <c r="B25" s="5">
        <v>6</v>
      </c>
      <c r="C25" s="6" t="s">
        <v>39</v>
      </c>
      <c r="D25" s="10" t="s">
        <v>97</v>
      </c>
      <c r="E25" s="6" t="s">
        <v>23</v>
      </c>
      <c r="F25" s="5" t="s">
        <v>98</v>
      </c>
      <c r="G25" s="8" t="str">
        <f ca="1">IFERROR(__xludf.DUMMYFUNCTION("GOOGLETRANSLATE(D25,""zh"",""vi"")"),"Taxi")</f>
        <v>Taxi</v>
      </c>
      <c r="H25" s="9" t="s">
        <v>94</v>
      </c>
      <c r="I25" s="6"/>
    </row>
    <row r="26" spans="1:9">
      <c r="A26" s="4">
        <v>25</v>
      </c>
      <c r="B26" s="5">
        <v>10</v>
      </c>
      <c r="C26" s="6" t="s">
        <v>49</v>
      </c>
      <c r="D26" s="10" t="s">
        <v>99</v>
      </c>
      <c r="E26" s="6" t="s">
        <v>12</v>
      </c>
      <c r="F26" s="5" t="s">
        <v>100</v>
      </c>
      <c r="G26" s="8" t="str">
        <f ca="1">IFERROR(__xludf.DUMMYFUNCTION("GOOGLETRANSLATE(D26,""zh"",""vi"")"),"mặc")</f>
        <v>mặc</v>
      </c>
      <c r="H26" s="9" t="s">
        <v>87</v>
      </c>
      <c r="I26" s="6"/>
    </row>
    <row r="27" spans="1:9">
      <c r="A27" s="4">
        <v>26</v>
      </c>
      <c r="B27" s="5">
        <v>13</v>
      </c>
      <c r="C27" s="6" t="s">
        <v>43</v>
      </c>
      <c r="D27" s="10" t="s">
        <v>101</v>
      </c>
      <c r="E27" s="6" t="s">
        <v>12</v>
      </c>
      <c r="F27" s="5" t="s">
        <v>102</v>
      </c>
      <c r="G27" s="8" t="str">
        <f ca="1">IFERROR(__xludf.DUMMYFUNCTION("GOOGLETRANSLATE(D27,""zh"",""vi"")"),"Gọi điện")</f>
        <v>Gọi điện</v>
      </c>
      <c r="H27" s="9" t="s">
        <v>87</v>
      </c>
      <c r="I27" s="6"/>
    </row>
    <row r="28" spans="1:9">
      <c r="A28" s="4">
        <v>27</v>
      </c>
      <c r="B28" s="5">
        <v>4.8</v>
      </c>
      <c r="C28" s="6" t="s">
        <v>103</v>
      </c>
      <c r="D28" s="10" t="s">
        <v>104</v>
      </c>
      <c r="E28" s="6" t="s">
        <v>105</v>
      </c>
      <c r="F28" s="5" t="s">
        <v>106</v>
      </c>
      <c r="G28" s="8" t="str">
        <f ca="1">IFERROR(__xludf.DUMMYFUNCTION("GOOGLETRANSLATE(D28,""zh"",""vi"")"),"to lớn")</f>
        <v>to lớn</v>
      </c>
      <c r="H28" s="9" t="s">
        <v>107</v>
      </c>
      <c r="I28" s="6"/>
    </row>
    <row r="29" spans="1:9">
      <c r="A29" s="4">
        <v>28</v>
      </c>
      <c r="B29" s="5">
        <v>1</v>
      </c>
      <c r="C29" s="6" t="s">
        <v>69</v>
      </c>
      <c r="D29" s="10" t="s">
        <v>108</v>
      </c>
      <c r="E29" s="6" t="s">
        <v>109</v>
      </c>
      <c r="F29" s="5" t="s">
        <v>110</v>
      </c>
      <c r="G29" s="8" t="str">
        <f ca="1">IFERROR(__xludf.DUMMYFUNCTION("GOOGLETRANSLATE(D29,""zh"",""vi"")"),"Mọi người")</f>
        <v>Mọi người</v>
      </c>
      <c r="H29" s="9" t="s">
        <v>7</v>
      </c>
      <c r="I29" s="6"/>
    </row>
    <row r="30" spans="1:9">
      <c r="A30" s="4">
        <v>29</v>
      </c>
      <c r="B30" s="5">
        <v>11</v>
      </c>
      <c r="C30" s="6" t="s">
        <v>91</v>
      </c>
      <c r="D30" s="10" t="s">
        <v>111</v>
      </c>
      <c r="E30" s="6" t="s">
        <v>23</v>
      </c>
      <c r="F30" s="5" t="s">
        <v>112</v>
      </c>
      <c r="G30" s="8" t="str">
        <f ca="1">IFERROR(__xludf.DUMMYFUNCTION("GOOGLETRANSLATE(D30,""zh"",""vi"")"),"Trường đại học")</f>
        <v>Trường đại học</v>
      </c>
      <c r="H30" s="9" t="s">
        <v>90</v>
      </c>
      <c r="I30" s="6"/>
    </row>
    <row r="31" spans="1:9">
      <c r="A31" s="4">
        <v>30</v>
      </c>
      <c r="B31" s="5">
        <v>11</v>
      </c>
      <c r="C31" s="6" t="s">
        <v>91</v>
      </c>
      <c r="D31" s="10" t="s">
        <v>113</v>
      </c>
      <c r="E31" s="6" t="s">
        <v>23</v>
      </c>
      <c r="F31" s="5" t="s">
        <v>114</v>
      </c>
      <c r="G31" s="8" t="str">
        <f ca="1">IFERROR(__xludf.DUMMYFUNCTION("GOOGLETRANSLATE(D31,""zh"",""vi"")"),"sinh viên đại học")</f>
        <v>sinh viên đại học</v>
      </c>
      <c r="H31" s="9" t="s">
        <v>115</v>
      </c>
      <c r="I31" s="6"/>
    </row>
    <row r="32" spans="1:9">
      <c r="A32" s="4">
        <v>31</v>
      </c>
      <c r="B32" s="5">
        <v>8</v>
      </c>
      <c r="C32" s="6" t="s">
        <v>65</v>
      </c>
      <c r="D32" s="7" t="s">
        <v>116</v>
      </c>
      <c r="E32" s="6" t="s">
        <v>12</v>
      </c>
      <c r="F32" s="5" t="s">
        <v>117</v>
      </c>
      <c r="G32" s="8" t="str">
        <f ca="1">IFERROR(__xludf.DUMMYFUNCTION("GOOGLETRANSLATE(D32,""zh"",""vi"")"),"đến")</f>
        <v>đến</v>
      </c>
      <c r="H32" s="9" t="s">
        <v>94</v>
      </c>
      <c r="I32" s="6"/>
    </row>
    <row r="33" spans="1:9">
      <c r="A33" s="4">
        <v>32</v>
      </c>
      <c r="B33" s="5">
        <v>3</v>
      </c>
      <c r="C33" s="6" t="s">
        <v>118</v>
      </c>
      <c r="D33" s="7" t="s">
        <v>119</v>
      </c>
      <c r="E33" s="6" t="s">
        <v>27</v>
      </c>
      <c r="F33" s="5" t="s">
        <v>120</v>
      </c>
      <c r="G33" s="8" t="str">
        <f ca="1">IFERROR(__xludf.DUMMYFUNCTION("GOOGLETRANSLATE(D33,""zh"",""vi"")"),"của")</f>
        <v>của</v>
      </c>
      <c r="H33" s="9" t="s">
        <v>30</v>
      </c>
      <c r="I33" s="6"/>
    </row>
    <row r="34" spans="1:9">
      <c r="A34" s="4">
        <v>33</v>
      </c>
      <c r="B34" s="5">
        <v>11</v>
      </c>
      <c r="C34" s="6" t="s">
        <v>91</v>
      </c>
      <c r="D34" s="10" t="s">
        <v>121</v>
      </c>
      <c r="E34" s="6" t="s">
        <v>23</v>
      </c>
      <c r="F34" s="5" t="s">
        <v>122</v>
      </c>
      <c r="G34" s="8" t="str">
        <f ca="1">IFERROR(__xludf.DUMMYFUNCTION("GOOGLETRANSLATE(D34,""zh"",""vi"")"),"em trai")</f>
        <v>em trai</v>
      </c>
      <c r="H34" s="9" t="s">
        <v>7</v>
      </c>
      <c r="I34" s="6"/>
    </row>
    <row r="35" spans="1:9">
      <c r="A35" s="4">
        <v>34</v>
      </c>
      <c r="B35" s="5">
        <v>9</v>
      </c>
      <c r="C35" s="6" t="s">
        <v>31</v>
      </c>
      <c r="D35" s="7" t="s">
        <v>123</v>
      </c>
      <c r="E35" s="6" t="s">
        <v>124</v>
      </c>
      <c r="F35" s="5" t="s">
        <v>125</v>
      </c>
      <c r="G35" s="8" t="s">
        <v>126</v>
      </c>
      <c r="H35" s="9" t="s">
        <v>21</v>
      </c>
      <c r="I35" s="6"/>
    </row>
    <row r="36" spans="1:9">
      <c r="A36" s="4">
        <v>35</v>
      </c>
      <c r="B36" s="5">
        <v>7</v>
      </c>
      <c r="C36" s="6" t="s">
        <v>25</v>
      </c>
      <c r="D36" s="10" t="s">
        <v>127</v>
      </c>
      <c r="E36" s="6" t="s">
        <v>54</v>
      </c>
      <c r="F36" s="5" t="s">
        <v>128</v>
      </c>
      <c r="G36" s="8" t="s">
        <v>129</v>
      </c>
      <c r="H36" s="9" t="s">
        <v>34</v>
      </c>
      <c r="I36" s="6"/>
    </row>
    <row r="37" spans="1:9">
      <c r="A37" s="4">
        <v>36</v>
      </c>
      <c r="B37" s="5">
        <v>6</v>
      </c>
      <c r="C37" s="6" t="s">
        <v>39</v>
      </c>
      <c r="D37" s="10" t="s">
        <v>130</v>
      </c>
      <c r="E37" s="6" t="s">
        <v>23</v>
      </c>
      <c r="F37" s="5" t="s">
        <v>131</v>
      </c>
      <c r="G37" s="8" t="str">
        <f ca="1">IFERROR(__xludf.DUMMYFUNCTION("GOOGLETRANSLATE(D37,""zh"",""vi"")"),"Điện thoại")</f>
        <v>Điện thoại</v>
      </c>
      <c r="H37" s="9" t="s">
        <v>48</v>
      </c>
      <c r="I37" s="6"/>
    </row>
    <row r="38" spans="1:9">
      <c r="A38" s="4">
        <v>37</v>
      </c>
      <c r="B38" s="5">
        <v>5</v>
      </c>
      <c r="C38" s="6" t="s">
        <v>132</v>
      </c>
      <c r="D38" s="10" t="s">
        <v>133</v>
      </c>
      <c r="E38" s="6" t="s">
        <v>23</v>
      </c>
      <c r="F38" s="5" t="s">
        <v>134</v>
      </c>
      <c r="G38" s="8" t="str">
        <f ca="1">IFERROR(__xludf.DUMMYFUNCTION("GOOGLETRANSLATE(D38,""zh"",""vi"")"),"máy tính")</f>
        <v>máy tính</v>
      </c>
      <c r="H38" s="9" t="s">
        <v>48</v>
      </c>
      <c r="I38" s="6"/>
    </row>
    <row r="39" spans="1:9">
      <c r="A39" s="4">
        <v>38</v>
      </c>
      <c r="B39" s="5">
        <v>9</v>
      </c>
      <c r="C39" s="6" t="s">
        <v>31</v>
      </c>
      <c r="D39" s="10" t="s">
        <v>135</v>
      </c>
      <c r="E39" s="6" t="s">
        <v>23</v>
      </c>
      <c r="F39" s="5" t="s">
        <v>136</v>
      </c>
      <c r="G39" s="8" t="str">
        <f ca="1">IFERROR(__xludf.DUMMYFUNCTION("GOOGLETRANSLATE(D39,""zh"",""vi"")"),"tivi")</f>
        <v>tivi</v>
      </c>
      <c r="H39" s="9" t="s">
        <v>48</v>
      </c>
      <c r="I39" s="6"/>
    </row>
    <row r="40" spans="1:9">
      <c r="A40" s="4">
        <v>39</v>
      </c>
      <c r="B40" s="5">
        <v>7</v>
      </c>
      <c r="C40" s="6" t="s">
        <v>25</v>
      </c>
      <c r="D40" s="7" t="s">
        <v>137</v>
      </c>
      <c r="E40" s="6" t="s">
        <v>23</v>
      </c>
      <c r="F40" s="5" t="s">
        <v>138</v>
      </c>
      <c r="G40" s="8" t="str">
        <f ca="1">IFERROR(__xludf.DUMMYFUNCTION("GOOGLETRANSLATE(D40,""zh"",""vi"")"),"Bộ phim")</f>
        <v>Bộ phim</v>
      </c>
      <c r="H40" s="9" t="s">
        <v>48</v>
      </c>
      <c r="I40" s="6"/>
    </row>
    <row r="41" spans="1:9">
      <c r="A41" s="4">
        <v>40</v>
      </c>
      <c r="B41" s="5">
        <v>7</v>
      </c>
      <c r="C41" s="6" t="s">
        <v>25</v>
      </c>
      <c r="D41" s="10" t="s">
        <v>139</v>
      </c>
      <c r="E41" s="6" t="s">
        <v>23</v>
      </c>
      <c r="F41" s="5" t="s">
        <v>140</v>
      </c>
      <c r="G41" s="8" t="str">
        <f ca="1">IFERROR(__xludf.DUMMYFUNCTION("GOOGLETRANSLATE(D41,""zh"",""vi"")"),"Rạp chiếu phim")</f>
        <v>Rạp chiếu phim</v>
      </c>
      <c r="H41" s="9" t="s">
        <v>90</v>
      </c>
      <c r="I41" s="6"/>
    </row>
    <row r="42" spans="1:9">
      <c r="A42" s="4">
        <v>41</v>
      </c>
      <c r="B42" s="5">
        <v>7</v>
      </c>
      <c r="C42" s="6" t="s">
        <v>25</v>
      </c>
      <c r="D42" s="10" t="s">
        <v>141</v>
      </c>
      <c r="E42" s="6" t="s">
        <v>23</v>
      </c>
      <c r="F42" s="5" t="s">
        <v>142</v>
      </c>
      <c r="G42" s="8" t="str">
        <f ca="1">IFERROR(__xludf.DUMMYFUNCTION("GOOGLETRANSLATE(D42,""zh"",""vi"")"),"cửa hàng")</f>
        <v>cửa hàng</v>
      </c>
      <c r="H42" s="9" t="s">
        <v>90</v>
      </c>
      <c r="I42" s="6"/>
    </row>
    <row r="43" spans="1:9">
      <c r="A43" s="4">
        <v>42</v>
      </c>
      <c r="B43" s="5">
        <v>6</v>
      </c>
      <c r="C43" s="6" t="s">
        <v>39</v>
      </c>
      <c r="D43" s="10" t="s">
        <v>143</v>
      </c>
      <c r="E43" s="6" t="s">
        <v>23</v>
      </c>
      <c r="F43" s="5" t="s">
        <v>144</v>
      </c>
      <c r="G43" s="8" t="str">
        <f ca="1">IFERROR(__xludf.DUMMYFUNCTION("GOOGLETRANSLATE(D43,""zh"",""vi"")"),"điều")</f>
        <v>điều</v>
      </c>
      <c r="H43" s="9" t="s">
        <v>48</v>
      </c>
      <c r="I43" s="6"/>
    </row>
    <row r="44" spans="1:9">
      <c r="A44" s="4">
        <v>43</v>
      </c>
      <c r="B44" s="5">
        <v>14</v>
      </c>
      <c r="C44" s="6" t="s">
        <v>72</v>
      </c>
      <c r="D44" s="7" t="s">
        <v>145</v>
      </c>
      <c r="E44" s="6" t="s">
        <v>74</v>
      </c>
      <c r="F44" s="5" t="s">
        <v>146</v>
      </c>
      <c r="G44" s="8" t="str">
        <f ca="1">IFERROR(__xludf.DUMMYFUNCTION("GOOGLETRANSLATE(D44,""zh"",""vi"")"),"Tất cả")</f>
        <v>Tất cả</v>
      </c>
      <c r="H44" s="9" t="s">
        <v>30</v>
      </c>
      <c r="I44" s="6"/>
    </row>
    <row r="45" spans="1:9">
      <c r="A45" s="4">
        <v>44</v>
      </c>
      <c r="B45" s="5">
        <v>11</v>
      </c>
      <c r="C45" s="6" t="s">
        <v>91</v>
      </c>
      <c r="D45" s="10" t="s">
        <v>147</v>
      </c>
      <c r="E45" s="6" t="s">
        <v>12</v>
      </c>
      <c r="F45" s="5" t="s">
        <v>148</v>
      </c>
      <c r="G45" s="8" t="s">
        <v>149</v>
      </c>
      <c r="H45" s="9" t="s">
        <v>150</v>
      </c>
      <c r="I45" s="6"/>
    </row>
    <row r="46" spans="1:9">
      <c r="A46" s="4">
        <v>45</v>
      </c>
      <c r="B46" s="5">
        <v>9</v>
      </c>
      <c r="C46" s="6" t="s">
        <v>31</v>
      </c>
      <c r="D46" s="10" t="s">
        <v>151</v>
      </c>
      <c r="E46" s="6" t="s">
        <v>12</v>
      </c>
      <c r="F46" s="5" t="s">
        <v>152</v>
      </c>
      <c r="G46" s="8" t="str">
        <f ca="1">IFERROR(__xludf.DUMMYFUNCTION("GOOGLETRANSLATE(D46,""zh"",""vi"")"),"đọc")</f>
        <v>đọc</v>
      </c>
      <c r="H46" s="9" t="s">
        <v>150</v>
      </c>
      <c r="I46" s="6"/>
    </row>
    <row r="47" spans="1:9">
      <c r="A47" s="4">
        <v>46</v>
      </c>
      <c r="B47" s="5">
        <v>3.11</v>
      </c>
      <c r="C47" s="6" t="s">
        <v>153</v>
      </c>
      <c r="D47" s="7" t="s">
        <v>154</v>
      </c>
      <c r="E47" s="6" t="s">
        <v>155</v>
      </c>
      <c r="F47" s="5" t="s">
        <v>156</v>
      </c>
      <c r="G47" s="8" t="s">
        <v>157</v>
      </c>
      <c r="H47" s="9" t="s">
        <v>107</v>
      </c>
      <c r="I47" s="6"/>
    </row>
    <row r="48" spans="1:9">
      <c r="A48" s="4">
        <v>47</v>
      </c>
      <c r="B48" s="5">
        <v>2</v>
      </c>
      <c r="C48" s="6" t="s">
        <v>76</v>
      </c>
      <c r="D48" s="7" t="s">
        <v>158</v>
      </c>
      <c r="E48" s="6" t="s">
        <v>12</v>
      </c>
      <c r="F48" s="5" t="s">
        <v>159</v>
      </c>
      <c r="G48" s="8" t="str">
        <f ca="1">IFERROR(__xludf.DUMMYFUNCTION("GOOGLETRANSLATE(D48,""zh"",""vi"")"),"Xin lỗi")</f>
        <v>Xin lỗi</v>
      </c>
      <c r="H48" s="9" t="s">
        <v>7</v>
      </c>
      <c r="I48" s="6"/>
    </row>
    <row r="49" spans="1:9">
      <c r="A49" s="4">
        <v>48</v>
      </c>
      <c r="B49" s="5">
        <v>4.8</v>
      </c>
      <c r="C49" s="6" t="s">
        <v>103</v>
      </c>
      <c r="D49" s="7" t="s">
        <v>160</v>
      </c>
      <c r="E49" s="6" t="s">
        <v>109</v>
      </c>
      <c r="F49" s="5" t="s">
        <v>161</v>
      </c>
      <c r="G49" s="8" t="str">
        <f ca="1">IFERROR(__xludf.DUMMYFUNCTION("GOOGLETRANSLATE(D49,""zh"",""vi"")"),"nhiều")</f>
        <v>nhiều</v>
      </c>
      <c r="H49" s="9" t="s">
        <v>107</v>
      </c>
      <c r="I49" s="6"/>
    </row>
    <row r="50" spans="1:9">
      <c r="A50" s="4">
        <v>49</v>
      </c>
      <c r="B50" s="5">
        <v>4</v>
      </c>
      <c r="C50" s="6" t="s">
        <v>17</v>
      </c>
      <c r="D50" s="7" t="s">
        <v>162</v>
      </c>
      <c r="E50" s="6" t="s">
        <v>109</v>
      </c>
      <c r="F50" s="5" t="s">
        <v>163</v>
      </c>
      <c r="G50" s="8" t="str">
        <f ca="1">IFERROR(__xludf.DUMMYFUNCTION("GOOGLETRANSLATE(D50,""zh"",""vi"")"),"Bao nhiêu")</f>
        <v>Bao nhiêu</v>
      </c>
      <c r="H50" s="9" t="s">
        <v>21</v>
      </c>
      <c r="I50" s="6"/>
    </row>
    <row r="51" spans="1:9">
      <c r="A51" s="4">
        <v>50</v>
      </c>
      <c r="B51" s="5">
        <v>4</v>
      </c>
      <c r="C51" s="6" t="s">
        <v>17</v>
      </c>
      <c r="D51" s="10" t="s">
        <v>164</v>
      </c>
      <c r="E51" s="6" t="s">
        <v>23</v>
      </c>
      <c r="F51" s="5" t="s">
        <v>165</v>
      </c>
      <c r="G51" s="8" t="str">
        <f ca="1">IFERROR(__xludf.DUMMYFUNCTION("GOOGLETRANSLATE(D51,""zh"",""vi"")"),"con trai")</f>
        <v>con trai</v>
      </c>
      <c r="H51" s="9" t="s">
        <v>7</v>
      </c>
      <c r="I51" s="6"/>
    </row>
    <row r="52" spans="1:9">
      <c r="A52" s="4">
        <v>51</v>
      </c>
      <c r="B52" s="5">
        <v>4</v>
      </c>
      <c r="C52" s="6" t="s">
        <v>17</v>
      </c>
      <c r="D52" s="10" t="s">
        <v>166</v>
      </c>
      <c r="E52" s="6" t="s">
        <v>19</v>
      </c>
      <c r="F52" s="5" t="s">
        <v>167</v>
      </c>
      <c r="G52" s="8" t="str">
        <f ca="1">IFERROR(__xludf.DUMMYFUNCTION("GOOGLETRANSLATE(D52,""zh"",""vi"")"),"hai")</f>
        <v>hai</v>
      </c>
      <c r="H52" s="9" t="s">
        <v>21</v>
      </c>
      <c r="I52" s="6"/>
    </row>
    <row r="53" spans="1:9">
      <c r="A53" s="4">
        <v>52</v>
      </c>
      <c r="B53" s="5">
        <v>8</v>
      </c>
      <c r="C53" s="6" t="s">
        <v>65</v>
      </c>
      <c r="D53" s="10" t="s">
        <v>168</v>
      </c>
      <c r="E53" s="6" t="s">
        <v>23</v>
      </c>
      <c r="F53" s="5" t="s">
        <v>169</v>
      </c>
      <c r="G53" s="8" t="str">
        <f ca="1">IFERROR(__xludf.DUMMYFUNCTION("GOOGLETRANSLATE(D53,""zh"",""vi"")"),"bữa ăn")</f>
        <v>bữa ăn</v>
      </c>
      <c r="H53" s="9" t="s">
        <v>42</v>
      </c>
      <c r="I53" s="6"/>
    </row>
    <row r="54" spans="1:9">
      <c r="A54" s="4">
        <v>53</v>
      </c>
      <c r="B54" s="5">
        <v>11</v>
      </c>
      <c r="C54" s="6" t="s">
        <v>91</v>
      </c>
      <c r="D54" s="10" t="s">
        <v>170</v>
      </c>
      <c r="E54" s="6" t="s">
        <v>23</v>
      </c>
      <c r="F54" s="5" t="s">
        <v>171</v>
      </c>
      <c r="G54" s="8" t="str">
        <f ca="1">IFERROR(__xludf.DUMMYFUNCTION("GOOGLETRANSLATE(D54,""zh"",""vi"")"),"Nhà hàng")</f>
        <v>Nhà hàng</v>
      </c>
      <c r="H54" s="9" t="s">
        <v>90</v>
      </c>
      <c r="I54" s="6"/>
    </row>
    <row r="55" spans="1:9">
      <c r="A55" s="4">
        <v>54</v>
      </c>
      <c r="B55" s="5">
        <v>8</v>
      </c>
      <c r="C55" s="6" t="s">
        <v>65</v>
      </c>
      <c r="D55" s="7" t="s">
        <v>172</v>
      </c>
      <c r="E55" s="6" t="s">
        <v>23</v>
      </c>
      <c r="F55" s="5" t="s">
        <v>173</v>
      </c>
      <c r="G55" s="8" t="str">
        <f ca="1">IFERROR(__xludf.DUMMYFUNCTION("GOOGLETRANSLATE(D55,""zh"",""vi"")"),"Phòng")</f>
        <v>Phòng</v>
      </c>
      <c r="H55" s="9" t="s">
        <v>90</v>
      </c>
      <c r="I55" s="6"/>
    </row>
    <row r="56" spans="1:9">
      <c r="A56" s="4">
        <v>55</v>
      </c>
      <c r="B56" s="5">
        <v>15</v>
      </c>
      <c r="C56" s="6" t="s">
        <v>10</v>
      </c>
      <c r="D56" s="10" t="s">
        <v>174</v>
      </c>
      <c r="E56" s="6" t="s">
        <v>23</v>
      </c>
      <c r="F56" s="5" t="s">
        <v>175</v>
      </c>
      <c r="G56" s="8" t="str">
        <f ca="1">IFERROR(__xludf.DUMMYFUNCTION("GOOGLETRANSLATE(D56,""zh"",""vi"")"),"máy bay")</f>
        <v>máy bay</v>
      </c>
      <c r="H56" s="9" t="s">
        <v>94</v>
      </c>
      <c r="I56" s="6"/>
    </row>
    <row r="57" spans="1:9">
      <c r="A57" s="4">
        <v>56</v>
      </c>
      <c r="B57" s="5">
        <v>6</v>
      </c>
      <c r="C57" s="6" t="s">
        <v>39</v>
      </c>
      <c r="D57" s="10" t="s">
        <v>176</v>
      </c>
      <c r="E57" s="6" t="s">
        <v>74</v>
      </c>
      <c r="F57" s="5" t="s">
        <v>177</v>
      </c>
      <c r="G57" s="8" t="str">
        <f ca="1">IFERROR(__xludf.DUMMYFUNCTION("GOOGLETRANSLATE(D57,""zh"",""vi"")"),"Rất")</f>
        <v>Rất</v>
      </c>
      <c r="H57" s="9" t="s">
        <v>107</v>
      </c>
      <c r="I57" s="6"/>
    </row>
    <row r="58" spans="1:9">
      <c r="A58" s="4">
        <v>57</v>
      </c>
      <c r="B58" s="5">
        <v>7</v>
      </c>
      <c r="C58" s="6" t="s">
        <v>25</v>
      </c>
      <c r="D58" s="10" t="s">
        <v>178</v>
      </c>
      <c r="E58" s="6" t="s">
        <v>54</v>
      </c>
      <c r="F58" s="5" t="s">
        <v>179</v>
      </c>
      <c r="G58" s="8" t="s">
        <v>180</v>
      </c>
      <c r="H58" s="9" t="s">
        <v>34</v>
      </c>
      <c r="I58" s="6"/>
    </row>
    <row r="59" spans="1:9">
      <c r="A59" s="4">
        <v>58</v>
      </c>
      <c r="B59" s="5">
        <v>7</v>
      </c>
      <c r="C59" s="6" t="s">
        <v>25</v>
      </c>
      <c r="D59" s="7" t="s">
        <v>181</v>
      </c>
      <c r="E59" s="6" t="s">
        <v>54</v>
      </c>
      <c r="F59" s="5" t="s">
        <v>182</v>
      </c>
      <c r="G59" s="8" t="str">
        <f ca="1">IFERROR(__xludf.DUMMYFUNCTION("GOOGLETRANSLATE(D59,""zh"",""vi"")"),"phút")</f>
        <v>phút</v>
      </c>
      <c r="H59" s="9" t="s">
        <v>34</v>
      </c>
      <c r="I59" s="6"/>
    </row>
    <row r="60" spans="1:9">
      <c r="A60" s="4">
        <v>59</v>
      </c>
      <c r="B60" s="5">
        <v>13</v>
      </c>
      <c r="C60" s="6" t="s">
        <v>43</v>
      </c>
      <c r="D60" s="10" t="s">
        <v>183</v>
      </c>
      <c r="E60" s="6" t="s">
        <v>23</v>
      </c>
      <c r="F60" s="5" t="s">
        <v>184</v>
      </c>
      <c r="G60" s="8" t="str">
        <f ca="1">IFERROR(__xludf.DUMMYFUNCTION("GOOGLETRANSLATE(D60,""zh"",""vi"")"),"phục vụ nam")</f>
        <v>phục vụ nam</v>
      </c>
      <c r="H60" s="9" t="s">
        <v>115</v>
      </c>
      <c r="I60" s="6"/>
    </row>
    <row r="61" spans="1:9">
      <c r="A61" s="4">
        <v>60</v>
      </c>
      <c r="B61" s="5">
        <v>2</v>
      </c>
      <c r="C61" s="6" t="s">
        <v>76</v>
      </c>
      <c r="D61" s="7" t="s">
        <v>185</v>
      </c>
      <c r="E61" s="6" t="s">
        <v>105</v>
      </c>
      <c r="F61" s="5" t="s">
        <v>186</v>
      </c>
      <c r="G61" s="8" t="str">
        <f ca="1">IFERROR(__xludf.DUMMYFUNCTION("GOOGLETRANSLATE(D61,""zh"",""vi"")"),"Vui mừng")</f>
        <v>Vui mừng</v>
      </c>
      <c r="H61" s="9" t="s">
        <v>15</v>
      </c>
      <c r="I61" s="6"/>
    </row>
    <row r="62" spans="1:9">
      <c r="A62" s="4">
        <v>61</v>
      </c>
      <c r="B62" s="5">
        <v>4</v>
      </c>
      <c r="C62" s="6" t="s">
        <v>17</v>
      </c>
      <c r="D62" s="10" t="s">
        <v>187</v>
      </c>
      <c r="E62" s="6" t="s">
        <v>23</v>
      </c>
      <c r="F62" s="5" t="s">
        <v>188</v>
      </c>
      <c r="G62" s="8" t="str">
        <f ca="1">IFERROR(__xludf.DUMMYFUNCTION("GOOGLETRANSLATE(D62,""zh"",""vi"")"),"anh trai")</f>
        <v>anh trai</v>
      </c>
      <c r="H62" s="9" t="s">
        <v>7</v>
      </c>
      <c r="I62" s="6"/>
    </row>
    <row r="63" spans="1:9">
      <c r="A63" s="4">
        <v>62</v>
      </c>
      <c r="B63" s="5">
        <v>9</v>
      </c>
      <c r="C63" s="6" t="s">
        <v>31</v>
      </c>
      <c r="D63" s="7" t="s">
        <v>189</v>
      </c>
      <c r="E63" s="6" t="s">
        <v>23</v>
      </c>
      <c r="F63" s="5" t="s">
        <v>190</v>
      </c>
      <c r="G63" s="8" t="str">
        <f ca="1">IFERROR(__xludf.DUMMYFUNCTION("GOOGLETRANSLATE(D63,""zh"",""vi"")"),"Bài hát")</f>
        <v>Bài hát</v>
      </c>
      <c r="H63" s="9" t="s">
        <v>87</v>
      </c>
      <c r="I63" s="6"/>
    </row>
    <row r="64" spans="1:9">
      <c r="A64" s="4">
        <v>63</v>
      </c>
      <c r="B64" s="5">
        <v>4</v>
      </c>
      <c r="C64" s="6" t="s">
        <v>17</v>
      </c>
      <c r="D64" s="10" t="s">
        <v>191</v>
      </c>
      <c r="E64" s="6" t="s">
        <v>54</v>
      </c>
      <c r="F64" s="5" t="s">
        <v>192</v>
      </c>
      <c r="G64" s="8" t="s">
        <v>193</v>
      </c>
      <c r="H64" s="9" t="s">
        <v>21</v>
      </c>
      <c r="I64" s="6"/>
    </row>
    <row r="65" spans="1:9">
      <c r="A65" s="4">
        <v>64</v>
      </c>
      <c r="B65" s="5">
        <v>13</v>
      </c>
      <c r="C65" s="6" t="s">
        <v>43</v>
      </c>
      <c r="D65" s="7" t="s">
        <v>194</v>
      </c>
      <c r="E65" s="6" t="s">
        <v>12</v>
      </c>
      <c r="F65" s="5" t="s">
        <v>195</v>
      </c>
      <c r="G65" s="8" t="str">
        <f ca="1">IFERROR(__xludf.DUMMYFUNCTION("GOOGLETRANSLATE(D65,""zh"",""vi"")"),"Đưa cho")</f>
        <v>Đưa cho</v>
      </c>
      <c r="H65" s="9" t="s">
        <v>87</v>
      </c>
      <c r="I65" s="6"/>
    </row>
    <row r="66" spans="1:9">
      <c r="A66" s="4">
        <v>65</v>
      </c>
      <c r="B66" s="5">
        <v>3.8</v>
      </c>
      <c r="C66" s="6" t="s">
        <v>196</v>
      </c>
      <c r="D66" s="10" t="s">
        <v>197</v>
      </c>
      <c r="E66" s="6" t="s">
        <v>23</v>
      </c>
      <c r="F66" s="5" t="s">
        <v>198</v>
      </c>
      <c r="G66" s="8" t="str">
        <f ca="1">IFERROR(__xludf.DUMMYFUNCTION("GOOGLETRANSLATE(D66,""zh"",""vi"")"),"Công việc")</f>
        <v>Công việc</v>
      </c>
      <c r="H66" s="9" t="s">
        <v>115</v>
      </c>
      <c r="I66" s="6"/>
    </row>
    <row r="67" spans="1:9">
      <c r="A67" s="4">
        <v>66</v>
      </c>
      <c r="B67" s="5">
        <v>12</v>
      </c>
      <c r="C67" s="6" t="s">
        <v>61</v>
      </c>
      <c r="D67" s="10" t="s">
        <v>199</v>
      </c>
      <c r="E67" s="6" t="s">
        <v>23</v>
      </c>
      <c r="F67" s="5" t="s">
        <v>200</v>
      </c>
      <c r="G67" s="8" t="str">
        <f ca="1">IFERROR(__xludf.DUMMYFUNCTION("GOOGLETRANSLATE(D67,""zh"",""vi"")"),"công ty")</f>
        <v>công ty</v>
      </c>
      <c r="H67" s="9" t="s">
        <v>90</v>
      </c>
      <c r="I67" s="6"/>
    </row>
    <row r="68" spans="1:9">
      <c r="A68" s="4">
        <v>67</v>
      </c>
      <c r="B68" s="5">
        <v>9</v>
      </c>
      <c r="C68" s="6" t="s">
        <v>31</v>
      </c>
      <c r="D68" s="7" t="s">
        <v>201</v>
      </c>
      <c r="E68" s="6" t="s">
        <v>23</v>
      </c>
      <c r="F68" s="5" t="s">
        <v>202</v>
      </c>
      <c r="G68" s="8" t="str">
        <f ca="1">IFERROR(__xludf.DUMMYFUNCTION("GOOGLETRANSLATE(D68,""zh"",""vi"")"),"chó")</f>
        <v>chó</v>
      </c>
      <c r="H68" s="9" t="s">
        <v>203</v>
      </c>
      <c r="I68" s="6"/>
    </row>
    <row r="69" spans="1:9">
      <c r="A69" s="4">
        <v>68</v>
      </c>
      <c r="B69" s="5">
        <v>10</v>
      </c>
      <c r="C69" s="6" t="s">
        <v>49</v>
      </c>
      <c r="D69" s="10" t="s">
        <v>204</v>
      </c>
      <c r="E69" s="6" t="s">
        <v>105</v>
      </c>
      <c r="F69" s="5" t="s">
        <v>205</v>
      </c>
      <c r="G69" s="8" t="str">
        <f ca="1">IFERROR(__xludf.DUMMYFUNCTION("GOOGLETRANSLATE(D69,""zh"",""vi"")"),"đắt")</f>
        <v>đắt</v>
      </c>
      <c r="H69" s="9" t="s">
        <v>107</v>
      </c>
      <c r="I69" s="6"/>
    </row>
    <row r="70" spans="1:9">
      <c r="A70" s="4">
        <v>69</v>
      </c>
      <c r="B70" s="5">
        <v>3</v>
      </c>
      <c r="C70" s="6" t="s">
        <v>118</v>
      </c>
      <c r="D70" s="7" t="s">
        <v>206</v>
      </c>
      <c r="E70" s="6" t="s">
        <v>23</v>
      </c>
      <c r="F70" s="5" t="s">
        <v>207</v>
      </c>
      <c r="G70" s="8" t="str">
        <f ca="1">IFERROR(__xludf.DUMMYFUNCTION("GOOGLETRANSLATE(D70,""zh"",""vi"")"),"quốc gia")</f>
        <v>quốc gia</v>
      </c>
      <c r="H70" s="9" t="s">
        <v>90</v>
      </c>
      <c r="I70" s="6"/>
    </row>
    <row r="71" spans="1:9">
      <c r="A71" s="4">
        <v>70</v>
      </c>
      <c r="B71" s="5">
        <v>3</v>
      </c>
      <c r="C71" s="6" t="s">
        <v>118</v>
      </c>
      <c r="D71" s="7" t="s">
        <v>208</v>
      </c>
      <c r="E71" s="6" t="s">
        <v>74</v>
      </c>
      <c r="F71" s="5" t="s">
        <v>209</v>
      </c>
      <c r="G71" s="8" t="s">
        <v>210</v>
      </c>
      <c r="H71" s="9" t="s">
        <v>30</v>
      </c>
      <c r="I71" s="6"/>
    </row>
    <row r="72" spans="1:9">
      <c r="A72" s="4">
        <v>71</v>
      </c>
      <c r="B72" s="5">
        <v>4</v>
      </c>
      <c r="C72" s="6" t="s">
        <v>17</v>
      </c>
      <c r="D72" s="10" t="s">
        <v>211</v>
      </c>
      <c r="E72" s="6" t="s">
        <v>23</v>
      </c>
      <c r="F72" s="5" t="s">
        <v>212</v>
      </c>
      <c r="G72" s="8" t="str">
        <f ca="1">IFERROR(__xludf.DUMMYFUNCTION("GOOGLETRANSLATE(D72,""zh"",""vi"")"),"đứa trẻ")</f>
        <v>đứa trẻ</v>
      </c>
      <c r="H72" s="9" t="s">
        <v>7</v>
      </c>
      <c r="I72" s="6"/>
    </row>
    <row r="73" spans="1:9">
      <c r="A73" s="4">
        <v>72</v>
      </c>
      <c r="B73" s="5">
        <v>1</v>
      </c>
      <c r="C73" s="6" t="s">
        <v>69</v>
      </c>
      <c r="D73" s="10" t="s">
        <v>213</v>
      </c>
      <c r="E73" s="6" t="s">
        <v>105</v>
      </c>
      <c r="F73" s="5" t="s">
        <v>214</v>
      </c>
      <c r="G73" s="8" t="str">
        <f ca="1">IFERROR(__xludf.DUMMYFUNCTION("GOOGLETRANSLATE(D73,""zh"",""vi"")"),"Tốt")</f>
        <v>Tốt</v>
      </c>
      <c r="H73" s="9" t="s">
        <v>107</v>
      </c>
      <c r="I73" s="6"/>
    </row>
    <row r="74" spans="1:9">
      <c r="A74" s="4">
        <v>73</v>
      </c>
      <c r="B74" s="5">
        <v>6</v>
      </c>
      <c r="C74" s="6" t="s">
        <v>39</v>
      </c>
      <c r="D74" s="10" t="s">
        <v>215</v>
      </c>
      <c r="E74" s="6" t="s">
        <v>105</v>
      </c>
      <c r="F74" s="5" t="s">
        <v>216</v>
      </c>
      <c r="G74" s="8" t="str">
        <f ca="1">IFERROR(__xludf.DUMMYFUNCTION("GOOGLETRANSLATE(D74,""zh"",""vi"")"),"ngon")</f>
        <v>ngon</v>
      </c>
      <c r="H74" s="9" t="s">
        <v>42</v>
      </c>
      <c r="I74" s="6"/>
    </row>
    <row r="75" spans="1:9">
      <c r="A75" s="4">
        <v>74</v>
      </c>
      <c r="B75" s="5">
        <v>5</v>
      </c>
      <c r="C75" s="6" t="s">
        <v>132</v>
      </c>
      <c r="D75" s="10" t="s">
        <v>217</v>
      </c>
      <c r="E75" s="6" t="s">
        <v>105</v>
      </c>
      <c r="F75" s="5" t="s">
        <v>218</v>
      </c>
      <c r="G75" s="8" t="str">
        <f ca="1">IFERROR(__xludf.DUMMYFUNCTION("GOOGLETRANSLATE(D75,""zh"",""vi"")"),"Đẹp")</f>
        <v>Đẹp</v>
      </c>
      <c r="H75" s="9" t="s">
        <v>107</v>
      </c>
      <c r="I75" s="6"/>
    </row>
    <row r="76" spans="1:9">
      <c r="A76" s="4">
        <v>75</v>
      </c>
      <c r="B76" s="5">
        <v>9</v>
      </c>
      <c r="C76" s="6" t="s">
        <v>31</v>
      </c>
      <c r="D76" s="10" t="s">
        <v>219</v>
      </c>
      <c r="E76" s="6" t="s">
        <v>105</v>
      </c>
      <c r="F76" s="5" t="s">
        <v>220</v>
      </c>
      <c r="G76" s="8" t="str">
        <f ca="1">IFERROR(__xludf.DUMMYFUNCTION("GOOGLETRANSLATE(D76,""zh"",""vi"")"),"Nghe hay đấy.")</f>
        <v>Nghe hay đấy.</v>
      </c>
      <c r="H76" s="9" t="s">
        <v>107</v>
      </c>
      <c r="I76" s="6"/>
    </row>
    <row r="77" spans="1:9">
      <c r="A77" s="4">
        <v>76</v>
      </c>
      <c r="B77" s="5">
        <v>15</v>
      </c>
      <c r="C77" s="6" t="s">
        <v>10</v>
      </c>
      <c r="D77" s="10" t="s">
        <v>221</v>
      </c>
      <c r="E77" s="6" t="s">
        <v>105</v>
      </c>
      <c r="F77" s="5" t="s">
        <v>222</v>
      </c>
      <c r="G77" s="8" t="str">
        <f ca="1">IFERROR(__xludf.DUMMYFUNCTION("GOOGLETRANSLATE(D77,""zh"",""vi"")"),"Vui vẻ")</f>
        <v>Vui vẻ</v>
      </c>
      <c r="H77" s="9" t="s">
        <v>107</v>
      </c>
      <c r="I77" s="6"/>
    </row>
    <row r="78" spans="1:9">
      <c r="A78" s="4">
        <v>77</v>
      </c>
      <c r="B78" s="5">
        <v>5.6</v>
      </c>
      <c r="C78" s="6" t="s">
        <v>39</v>
      </c>
      <c r="D78" s="10" t="s">
        <v>223</v>
      </c>
      <c r="E78" s="6" t="s">
        <v>45</v>
      </c>
      <c r="F78" s="5" t="s">
        <v>224</v>
      </c>
      <c r="G78" s="8" t="s">
        <v>225</v>
      </c>
      <c r="H78" s="9" t="s">
        <v>21</v>
      </c>
      <c r="I78" s="6"/>
    </row>
    <row r="79" spans="1:9">
      <c r="A79" s="4">
        <v>78</v>
      </c>
      <c r="B79" s="5">
        <v>12</v>
      </c>
      <c r="C79" s="6" t="s">
        <v>61</v>
      </c>
      <c r="D79" s="10" t="s">
        <v>226</v>
      </c>
      <c r="E79" s="6" t="s">
        <v>12</v>
      </c>
      <c r="F79" s="5" t="s">
        <v>227</v>
      </c>
      <c r="G79" s="8" t="str">
        <f ca="1">IFERROR(__xludf.DUMMYFUNCTION("GOOGLETRANSLATE(D79,""zh"",""vi"")"),"uống")</f>
        <v>uống</v>
      </c>
      <c r="H79" s="9" t="s">
        <v>87</v>
      </c>
      <c r="I79" s="6"/>
    </row>
    <row r="80" spans="1:9">
      <c r="A80" s="4">
        <v>79</v>
      </c>
      <c r="B80" s="5">
        <v>4.9000000000000004</v>
      </c>
      <c r="C80" s="6" t="s">
        <v>31</v>
      </c>
      <c r="D80" s="10" t="s">
        <v>228</v>
      </c>
      <c r="E80" s="6" t="s">
        <v>229</v>
      </c>
      <c r="F80" s="5" t="s">
        <v>230</v>
      </c>
      <c r="G80" s="8" t="str">
        <f ca="1">IFERROR(__xludf.DUMMYFUNCTION("GOOGLETRANSLATE(D80,""zh"",""vi"")"),"Và")</f>
        <v>Và</v>
      </c>
      <c r="H80" s="9" t="s">
        <v>30</v>
      </c>
      <c r="I80" s="6"/>
    </row>
    <row r="81" spans="1:9">
      <c r="A81" s="4">
        <v>80</v>
      </c>
      <c r="B81" s="5">
        <v>2</v>
      </c>
      <c r="C81" s="6" t="s">
        <v>76</v>
      </c>
      <c r="D81" s="10" t="s">
        <v>231</v>
      </c>
      <c r="E81" s="6" t="s">
        <v>74</v>
      </c>
      <c r="F81" s="5" t="s">
        <v>232</v>
      </c>
      <c r="G81" s="8" t="str">
        <f ca="1">IFERROR(__xludf.DUMMYFUNCTION("GOOGLETRANSLATE(D81,""zh"",""vi"")"),"rất")</f>
        <v>rất</v>
      </c>
      <c r="H81" s="9" t="s">
        <v>30</v>
      </c>
      <c r="I81" s="6"/>
    </row>
    <row r="82" spans="1:9">
      <c r="A82" s="4">
        <v>81</v>
      </c>
      <c r="B82" s="5">
        <v>7</v>
      </c>
      <c r="C82" s="6" t="s">
        <v>25</v>
      </c>
      <c r="D82" s="10" t="s">
        <v>233</v>
      </c>
      <c r="E82" s="6" t="s">
        <v>23</v>
      </c>
      <c r="F82" s="5" t="s">
        <v>234</v>
      </c>
      <c r="G82" s="8" t="str">
        <f ca="1">IFERROR(__xludf.DUMMYFUNCTION("GOOGLETRANSLATE(D82,""zh"",""vi"")"),"mặt sau")</f>
        <v>mặt sau</v>
      </c>
      <c r="H82" s="9" t="s">
        <v>60</v>
      </c>
      <c r="I82" s="6"/>
    </row>
    <row r="83" spans="1:9">
      <c r="A83" s="4">
        <v>82</v>
      </c>
      <c r="B83" s="5">
        <v>12</v>
      </c>
      <c r="C83" s="6" t="s">
        <v>61</v>
      </c>
      <c r="D83" s="10" t="s">
        <v>235</v>
      </c>
      <c r="E83" s="6" t="s">
        <v>12</v>
      </c>
      <c r="F83" s="5" t="s">
        <v>236</v>
      </c>
      <c r="G83" s="8" t="str">
        <f ca="1">IFERROR(__xludf.DUMMYFUNCTION("GOOGLETRANSLATE(D83,""zh"",""vi"")"),"trở lại")</f>
        <v>trở lại</v>
      </c>
      <c r="H83" s="9" t="s">
        <v>94</v>
      </c>
      <c r="I83" s="6"/>
    </row>
    <row r="84" spans="1:9">
      <c r="A84" s="4">
        <v>83</v>
      </c>
      <c r="B84" s="5">
        <v>5</v>
      </c>
      <c r="C84" s="6" t="s">
        <v>132</v>
      </c>
      <c r="D84" s="10" t="s">
        <v>237</v>
      </c>
      <c r="E84" s="6" t="s">
        <v>238</v>
      </c>
      <c r="F84" s="5" t="s">
        <v>239</v>
      </c>
      <c r="G84" s="8" t="s">
        <v>240</v>
      </c>
      <c r="H84" s="9" t="s">
        <v>150</v>
      </c>
      <c r="I84" s="6"/>
    </row>
    <row r="85" spans="1:9">
      <c r="A85" s="4">
        <v>84</v>
      </c>
      <c r="B85" s="5">
        <v>14</v>
      </c>
      <c r="C85" s="6" t="s">
        <v>72</v>
      </c>
      <c r="D85" s="10" t="s">
        <v>241</v>
      </c>
      <c r="E85" s="6" t="s">
        <v>23</v>
      </c>
      <c r="F85" s="5" t="s">
        <v>242</v>
      </c>
      <c r="G85" s="8" t="str">
        <f ca="1">IFERROR(__xludf.DUMMYFUNCTION("GOOGLETRANSLATE(D85,""zh"",""vi"")"),"xe lửa")</f>
        <v>xe lửa</v>
      </c>
      <c r="H85" s="9" t="s">
        <v>94</v>
      </c>
      <c r="I85" s="6"/>
    </row>
    <row r="86" spans="1:9">
      <c r="A86" s="4">
        <v>85</v>
      </c>
      <c r="B86" s="5">
        <v>15</v>
      </c>
      <c r="C86" s="6" t="s">
        <v>10</v>
      </c>
      <c r="D86" s="10" t="s">
        <v>243</v>
      </c>
      <c r="E86" s="6" t="s">
        <v>23</v>
      </c>
      <c r="F86" s="5" t="s">
        <v>244</v>
      </c>
      <c r="G86" s="8" t="str">
        <f ca="1">IFERROR(__xludf.DUMMYFUNCTION("GOOGLETRANSLATE(D86,""zh"",""vi"")"),"Sân bay")</f>
        <v>Sân bay</v>
      </c>
      <c r="H86" s="9" t="s">
        <v>90</v>
      </c>
      <c r="I86" s="6"/>
    </row>
    <row r="87" spans="1:9">
      <c r="A87" s="4">
        <v>86</v>
      </c>
      <c r="B87" s="5">
        <v>13</v>
      </c>
      <c r="C87" s="6" t="s">
        <v>43</v>
      </c>
      <c r="D87" s="10" t="s">
        <v>245</v>
      </c>
      <c r="E87" s="6" t="s">
        <v>23</v>
      </c>
      <c r="F87" s="5" t="s">
        <v>246</v>
      </c>
      <c r="G87" s="8" t="str">
        <f ca="1">IFERROR(__xludf.DUMMYFUNCTION("GOOGLETRANSLATE(D87,""zh"",""vi"")"),"trứng")</f>
        <v>trứng</v>
      </c>
      <c r="H87" s="9" t="s">
        <v>42</v>
      </c>
      <c r="I87" s="6"/>
    </row>
    <row r="88" spans="1:9">
      <c r="A88" s="4">
        <v>87</v>
      </c>
      <c r="B88" s="5">
        <v>4.1500000000000004</v>
      </c>
      <c r="C88" s="6" t="s">
        <v>247</v>
      </c>
      <c r="D88" s="10" t="s">
        <v>248</v>
      </c>
      <c r="E88" s="6" t="s">
        <v>249</v>
      </c>
      <c r="F88" s="5" t="s">
        <v>250</v>
      </c>
      <c r="G88" s="8" t="s">
        <v>251</v>
      </c>
      <c r="H88" s="9" t="s">
        <v>21</v>
      </c>
      <c r="I88" s="6"/>
    </row>
    <row r="89" spans="1:9">
      <c r="A89" s="4">
        <v>88</v>
      </c>
      <c r="B89" s="5">
        <v>4</v>
      </c>
      <c r="C89" s="6" t="s">
        <v>17</v>
      </c>
      <c r="D89" s="10" t="s">
        <v>252</v>
      </c>
      <c r="E89" s="6" t="s">
        <v>253</v>
      </c>
      <c r="F89" s="5" t="s">
        <v>254</v>
      </c>
      <c r="G89" s="8" t="s">
        <v>255</v>
      </c>
      <c r="H89" s="9" t="s">
        <v>90</v>
      </c>
      <c r="I89" s="6"/>
    </row>
    <row r="90" spans="1:9">
      <c r="A90" s="4">
        <v>89</v>
      </c>
      <c r="B90" s="5">
        <v>15</v>
      </c>
      <c r="C90" s="6" t="s">
        <v>10</v>
      </c>
      <c r="D90" s="10" t="s">
        <v>256</v>
      </c>
      <c r="E90" s="6" t="s">
        <v>23</v>
      </c>
      <c r="F90" s="5" t="s">
        <v>257</v>
      </c>
      <c r="G90" s="8" t="str">
        <f ca="1">IFERROR(__xludf.DUMMYFUNCTION("GOOGLETRANSLATE(D90,""zh"",""vi"")"),"gia đình")</f>
        <v>gia đình</v>
      </c>
      <c r="H90" s="9" t="s">
        <v>7</v>
      </c>
      <c r="I90" s="6"/>
    </row>
    <row r="91" spans="1:9">
      <c r="A91" s="4">
        <v>90</v>
      </c>
      <c r="B91" s="5">
        <v>7</v>
      </c>
      <c r="C91" s="6" t="s">
        <v>25</v>
      </c>
      <c r="D91" s="7" t="s">
        <v>258</v>
      </c>
      <c r="E91" s="6" t="s">
        <v>12</v>
      </c>
      <c r="F91" s="5" t="s">
        <v>259</v>
      </c>
      <c r="G91" s="8" t="str">
        <f ca="1">IFERROR(__xludf.DUMMYFUNCTION("GOOGLETRANSLATE(D91,""zh"",""vi"")"),"Nhìn thấy")</f>
        <v>Nhìn thấy</v>
      </c>
      <c r="H91" s="9" t="s">
        <v>150</v>
      </c>
      <c r="I91" s="6"/>
    </row>
    <row r="92" spans="1:9">
      <c r="A92" s="4">
        <v>91</v>
      </c>
      <c r="B92" s="5">
        <v>10</v>
      </c>
      <c r="C92" s="6" t="s">
        <v>49</v>
      </c>
      <c r="D92" s="10" t="s">
        <v>260</v>
      </c>
      <c r="E92" s="6" t="s">
        <v>54</v>
      </c>
      <c r="F92" s="5" t="s">
        <v>259</v>
      </c>
      <c r="G92" s="8" t="s">
        <v>261</v>
      </c>
      <c r="H92" s="9" t="s">
        <v>48</v>
      </c>
      <c r="I92" s="6"/>
    </row>
    <row r="93" spans="1:9">
      <c r="A93" s="4">
        <v>92</v>
      </c>
      <c r="B93" s="5">
        <v>5</v>
      </c>
      <c r="C93" s="6" t="s">
        <v>132</v>
      </c>
      <c r="D93" s="10" t="s">
        <v>262</v>
      </c>
      <c r="E93" s="6" t="s">
        <v>23</v>
      </c>
      <c r="F93" s="5" t="s">
        <v>263</v>
      </c>
      <c r="G93" s="8" t="str">
        <f ca="1">IFERROR(__xludf.DUMMYFUNCTION("GOOGLETRANSLATE(D93,""zh"",""vi"")"),"bánh bao")</f>
        <v>bánh bao</v>
      </c>
      <c r="H93" s="9" t="s">
        <v>42</v>
      </c>
      <c r="I93" s="6"/>
    </row>
    <row r="94" spans="1:9">
      <c r="A94" s="4">
        <v>93</v>
      </c>
      <c r="B94" s="5">
        <v>2</v>
      </c>
      <c r="C94" s="6" t="s">
        <v>76</v>
      </c>
      <c r="D94" s="10" t="s">
        <v>264</v>
      </c>
      <c r="E94" s="6" t="s">
        <v>12</v>
      </c>
      <c r="F94" s="5" t="s">
        <v>265</v>
      </c>
      <c r="G94" s="8" t="str">
        <f ca="1">IFERROR(__xludf.DUMMYFUNCTION("GOOGLETRANSLATE(D94,""zh"",""vi"")"),"Gọi")</f>
        <v>Gọi</v>
      </c>
      <c r="H94" s="9" t="s">
        <v>150</v>
      </c>
      <c r="I94" s="6"/>
    </row>
    <row r="95" spans="1:9">
      <c r="A95" s="4">
        <v>94</v>
      </c>
      <c r="B95" s="5">
        <v>15</v>
      </c>
      <c r="C95" s="6" t="s">
        <v>10</v>
      </c>
      <c r="D95" s="10" t="s">
        <v>266</v>
      </c>
      <c r="E95" s="6" t="s">
        <v>12</v>
      </c>
      <c r="F95" s="5" t="s">
        <v>267</v>
      </c>
      <c r="G95" s="8" t="s">
        <v>268</v>
      </c>
      <c r="H95" s="9" t="s">
        <v>7</v>
      </c>
      <c r="I95" s="6"/>
    </row>
    <row r="96" spans="1:9">
      <c r="A96" s="4">
        <v>95</v>
      </c>
      <c r="B96" s="5">
        <v>3</v>
      </c>
      <c r="C96" s="6" t="s">
        <v>118</v>
      </c>
      <c r="D96" s="10" t="s">
        <v>269</v>
      </c>
      <c r="E96" s="6" t="s">
        <v>23</v>
      </c>
      <c r="F96" s="5" t="s">
        <v>270</v>
      </c>
      <c r="G96" s="8" t="str">
        <f ca="1">IFERROR(__xludf.DUMMYFUNCTION("GOOGLETRANSLATE(D96,""zh"",""vi"")"),"chị gái")</f>
        <v>chị gái</v>
      </c>
      <c r="H96" s="9" t="s">
        <v>7</v>
      </c>
      <c r="I96" s="6"/>
    </row>
    <row r="97" spans="1:9">
      <c r="A97" s="4">
        <v>96</v>
      </c>
      <c r="B97" s="5">
        <v>10</v>
      </c>
      <c r="C97" s="6" t="s">
        <v>49</v>
      </c>
      <c r="D97" s="10" t="s">
        <v>271</v>
      </c>
      <c r="E97" s="6" t="s">
        <v>54</v>
      </c>
      <c r="F97" s="5" t="s">
        <v>272</v>
      </c>
      <c r="G97" s="8" t="s">
        <v>273</v>
      </c>
      <c r="H97" s="9" t="s">
        <v>21</v>
      </c>
      <c r="I97" s="6"/>
    </row>
    <row r="98" spans="1:9">
      <c r="A98" s="4">
        <v>97</v>
      </c>
      <c r="B98" s="5">
        <v>4</v>
      </c>
      <c r="C98" s="6" t="s">
        <v>17</v>
      </c>
      <c r="D98" s="10" t="s">
        <v>274</v>
      </c>
      <c r="E98" s="6" t="s">
        <v>23</v>
      </c>
      <c r="F98" s="5" t="s">
        <v>275</v>
      </c>
      <c r="G98" s="8" t="str">
        <f ca="1">IFERROR(__xludf.DUMMYFUNCTION("GOOGLETRANSLATE(D98,""zh"",""vi"")"),"Năm nay")</f>
        <v>Năm nay</v>
      </c>
      <c r="H98" s="9" t="s">
        <v>34</v>
      </c>
      <c r="I98" s="6"/>
    </row>
    <row r="99" spans="1:9">
      <c r="A99" s="4">
        <v>98</v>
      </c>
      <c r="B99" s="5">
        <v>5</v>
      </c>
      <c r="C99" s="6" t="s">
        <v>132</v>
      </c>
      <c r="D99" s="10" t="s">
        <v>276</v>
      </c>
      <c r="E99" s="6" t="s">
        <v>23</v>
      </c>
      <c r="F99" s="5" t="s">
        <v>277</v>
      </c>
      <c r="G99" s="8" t="str">
        <f ca="1">IFERROR(__xludf.DUMMYFUNCTION("GOOGLETRANSLATE(D99,""zh"",""vi"")"),"Hôm nay")</f>
        <v>Hôm nay</v>
      </c>
      <c r="H99" s="9" t="s">
        <v>34</v>
      </c>
      <c r="I99" s="6"/>
    </row>
    <row r="100" spans="1:9">
      <c r="A100" s="4">
        <v>99</v>
      </c>
      <c r="B100" s="5">
        <v>4</v>
      </c>
      <c r="C100" s="6" t="s">
        <v>17</v>
      </c>
      <c r="D100" s="10" t="s">
        <v>278</v>
      </c>
      <c r="E100" s="6" t="s">
        <v>109</v>
      </c>
      <c r="F100" s="5" t="s">
        <v>279</v>
      </c>
      <c r="G100" s="8" t="str">
        <f ca="1">IFERROR(__xludf.DUMMYFUNCTION("GOOGLETRANSLATE(D100,""zh"",""vi"")"),"Chín")</f>
        <v>Chín</v>
      </c>
      <c r="H100" s="9" t="s">
        <v>21</v>
      </c>
      <c r="I100" s="6"/>
    </row>
    <row r="101" spans="1:9">
      <c r="A101" s="4">
        <v>100</v>
      </c>
      <c r="B101" s="5">
        <v>12</v>
      </c>
      <c r="C101" s="6" t="s">
        <v>61</v>
      </c>
      <c r="D101" s="12" t="s">
        <v>280</v>
      </c>
      <c r="E101" s="6" t="s">
        <v>12</v>
      </c>
      <c r="F101" s="5" t="s">
        <v>281</v>
      </c>
      <c r="G101" s="8" t="str">
        <f ca="1">IFERROR(__xludf.DUMMYFUNCTION("GOOGLETRANSLATE(D101,""zh"",""vi"")"),"cảm thấy")</f>
        <v>cảm thấy</v>
      </c>
      <c r="H101" s="9" t="s">
        <v>15</v>
      </c>
      <c r="I101" s="6"/>
    </row>
    <row r="102" spans="1:9">
      <c r="A102" s="4">
        <v>101</v>
      </c>
      <c r="B102" s="5">
        <v>14</v>
      </c>
      <c r="C102" s="6" t="s">
        <v>72</v>
      </c>
      <c r="D102" s="12" t="s">
        <v>282</v>
      </c>
      <c r="E102" s="6" t="s">
        <v>12</v>
      </c>
      <c r="F102" s="5" t="s">
        <v>283</v>
      </c>
      <c r="G102" s="8" t="s">
        <v>284</v>
      </c>
      <c r="H102" s="9" t="s">
        <v>87</v>
      </c>
      <c r="I102" s="6"/>
    </row>
    <row r="103" spans="1:9">
      <c r="A103" s="4">
        <v>102</v>
      </c>
      <c r="B103" s="5">
        <v>11</v>
      </c>
      <c r="C103" s="6" t="s">
        <v>91</v>
      </c>
      <c r="D103" s="12" t="s">
        <v>285</v>
      </c>
      <c r="E103" s="6" t="s">
        <v>12</v>
      </c>
      <c r="F103" s="5" t="s">
        <v>286</v>
      </c>
      <c r="G103" s="8" t="str">
        <f ca="1">IFERROR(__xludf.DUMMYFUNCTION("GOOGLETRANSLATE(D103,""zh"",""vi"")"),"lái xe")</f>
        <v>lái xe</v>
      </c>
      <c r="H103" s="9" t="s">
        <v>94</v>
      </c>
      <c r="I103" s="6"/>
    </row>
    <row r="104" spans="1:9">
      <c r="A104" s="4">
        <v>103</v>
      </c>
      <c r="B104" s="5">
        <v>7</v>
      </c>
      <c r="C104" s="6" t="s">
        <v>25</v>
      </c>
      <c r="D104" s="12" t="s">
        <v>287</v>
      </c>
      <c r="E104" s="6" t="s">
        <v>12</v>
      </c>
      <c r="F104" s="5" t="s">
        <v>288</v>
      </c>
      <c r="G104" s="8" t="str">
        <f ca="1">IFERROR(__xludf.DUMMYFUNCTION("GOOGLETRANSLATE(D104,""zh"",""vi"")"),"Nhìn")</f>
        <v>Nhìn</v>
      </c>
      <c r="H104" s="9" t="s">
        <v>150</v>
      </c>
      <c r="I104" s="6"/>
    </row>
    <row r="105" spans="1:9">
      <c r="A105" s="4">
        <v>104</v>
      </c>
      <c r="B105" s="5">
        <v>12</v>
      </c>
      <c r="C105" s="6" t="s">
        <v>61</v>
      </c>
      <c r="D105" s="12" t="s">
        <v>289</v>
      </c>
      <c r="E105" s="6" t="s">
        <v>12</v>
      </c>
      <c r="F105" s="5" t="s">
        <v>290</v>
      </c>
      <c r="G105" s="8" t="str">
        <f ca="1">IFERROR(__xludf.DUMMYFUNCTION("GOOGLETRANSLATE(D105,""zh"",""vi"")"),"đi khám bác sĩ")</f>
        <v>đi khám bác sĩ</v>
      </c>
      <c r="H105" s="9" t="s">
        <v>64</v>
      </c>
      <c r="I105" s="6"/>
    </row>
    <row r="106" spans="1:9">
      <c r="A106" s="4">
        <v>105</v>
      </c>
      <c r="B106" s="5">
        <v>8</v>
      </c>
      <c r="C106" s="6" t="s">
        <v>65</v>
      </c>
      <c r="D106" s="12" t="s">
        <v>291</v>
      </c>
      <c r="E106" s="6" t="s">
        <v>12</v>
      </c>
      <c r="F106" s="5" t="s">
        <v>292</v>
      </c>
      <c r="G106" s="8" t="str">
        <f ca="1">IFERROR(__xludf.DUMMYFUNCTION("GOOGLETRANSLATE(D106,""zh"",""vi"")"),"nhìn thấy")</f>
        <v>nhìn thấy</v>
      </c>
      <c r="H106" s="9" t="s">
        <v>150</v>
      </c>
      <c r="I106" s="6"/>
    </row>
    <row r="107" spans="1:9">
      <c r="A107" s="4">
        <v>106</v>
      </c>
      <c r="B107" s="5">
        <v>13</v>
      </c>
      <c r="C107" s="6" t="s">
        <v>43</v>
      </c>
      <c r="D107" s="12" t="s">
        <v>293</v>
      </c>
      <c r="E107" s="6" t="s">
        <v>238</v>
      </c>
      <c r="F107" s="5" t="s">
        <v>294</v>
      </c>
      <c r="G107" s="8" t="str">
        <f ca="1">IFERROR(__xludf.DUMMYFUNCTION("GOOGLETRANSLATE(D107,""zh"",""vi"")"),"Có thể")</f>
        <v>Có thể</v>
      </c>
      <c r="H107" s="9" t="s">
        <v>30</v>
      </c>
      <c r="I107" s="6"/>
    </row>
    <row r="108" spans="1:9">
      <c r="A108" s="4">
        <v>107</v>
      </c>
      <c r="B108" s="5">
        <v>4</v>
      </c>
      <c r="C108" s="6" t="s">
        <v>17</v>
      </c>
      <c r="D108" s="12" t="s">
        <v>295</v>
      </c>
      <c r="E108" s="6" t="s">
        <v>54</v>
      </c>
      <c r="F108" s="5" t="s">
        <v>296</v>
      </c>
      <c r="G108" s="8" t="s">
        <v>297</v>
      </c>
      <c r="H108" s="9" t="s">
        <v>21</v>
      </c>
      <c r="I108" s="6"/>
    </row>
    <row r="109" spans="1:9">
      <c r="A109" s="4">
        <v>108</v>
      </c>
      <c r="B109" s="5">
        <v>10</v>
      </c>
      <c r="C109" s="6" t="s">
        <v>49</v>
      </c>
      <c r="D109" s="12" t="s">
        <v>298</v>
      </c>
      <c r="E109" s="6" t="s">
        <v>54</v>
      </c>
      <c r="F109" s="5" t="s">
        <v>299</v>
      </c>
      <c r="G109" s="8" t="s">
        <v>300</v>
      </c>
      <c r="H109" s="9" t="s">
        <v>21</v>
      </c>
      <c r="I109" s="6"/>
    </row>
    <row r="110" spans="1:9">
      <c r="A110" s="4">
        <v>109</v>
      </c>
      <c r="B110" s="5">
        <v>12</v>
      </c>
      <c r="C110" s="6" t="s">
        <v>61</v>
      </c>
      <c r="D110" s="12" t="s">
        <v>301</v>
      </c>
      <c r="E110" s="6" t="s">
        <v>12</v>
      </c>
      <c r="F110" s="5" t="s">
        <v>302</v>
      </c>
      <c r="G110" s="8" t="str">
        <f ca="1">IFERROR(__xludf.DUMMYFUNCTION("GOOGLETRANSLATE(D110,""zh"",""vi"")"),"Đến")</f>
        <v>Đến</v>
      </c>
      <c r="H110" s="9" t="s">
        <v>94</v>
      </c>
      <c r="I110" s="6"/>
    </row>
    <row r="111" spans="1:9">
      <c r="A111" s="4">
        <v>110</v>
      </c>
      <c r="B111" s="5">
        <v>1</v>
      </c>
      <c r="C111" s="6" t="s">
        <v>69</v>
      </c>
      <c r="D111" s="12" t="s">
        <v>303</v>
      </c>
      <c r="E111" s="6" t="s">
        <v>23</v>
      </c>
      <c r="F111" s="5" t="s">
        <v>304</v>
      </c>
      <c r="G111" s="8" t="str">
        <f ca="1">IFERROR(__xludf.DUMMYFUNCTION("GOOGLETRANSLATE(D111,""zh"",""vi"")"),"giáo viên")</f>
        <v>giáo viên</v>
      </c>
      <c r="H111" s="9" t="s">
        <v>115</v>
      </c>
      <c r="I111" s="6"/>
    </row>
    <row r="112" spans="1:9">
      <c r="A112" s="4">
        <v>111</v>
      </c>
      <c r="B112" s="5">
        <v>12.14</v>
      </c>
      <c r="C112" s="6" t="s">
        <v>305</v>
      </c>
      <c r="D112" s="12" t="s">
        <v>306</v>
      </c>
      <c r="E112" s="6" t="s">
        <v>27</v>
      </c>
      <c r="F112" s="5" t="s">
        <v>307</v>
      </c>
      <c r="G112" s="8" t="str">
        <f ca="1">IFERROR(__xludf.DUMMYFUNCTION("GOOGLETRANSLATE(D112,""zh"",""vi"")"),"Đã")</f>
        <v>Đã</v>
      </c>
      <c r="H112" s="9" t="s">
        <v>30</v>
      </c>
      <c r="I112" s="6"/>
    </row>
    <row r="113" spans="1:9">
      <c r="A113" s="4">
        <v>112</v>
      </c>
      <c r="B113" s="5">
        <v>12</v>
      </c>
      <c r="C113" s="6" t="s">
        <v>61</v>
      </c>
      <c r="D113" s="12" t="s">
        <v>308</v>
      </c>
      <c r="E113" s="6" t="s">
        <v>105</v>
      </c>
      <c r="F113" s="5" t="s">
        <v>309</v>
      </c>
      <c r="G113" s="8" t="str">
        <f ca="1">IFERROR(__xludf.DUMMYFUNCTION("GOOGLETRANSLATE(D113,""zh"",""vi"")"),"lạnh lẽo")</f>
        <v>lạnh lẽo</v>
      </c>
      <c r="H113" s="9" t="s">
        <v>107</v>
      </c>
      <c r="I113" s="6"/>
    </row>
    <row r="114" spans="1:9">
      <c r="A114" s="4">
        <v>113</v>
      </c>
      <c r="B114" s="5">
        <v>7</v>
      </c>
      <c r="C114" s="6" t="s">
        <v>25</v>
      </c>
      <c r="D114" s="12" t="s">
        <v>310</v>
      </c>
      <c r="E114" s="6" t="s">
        <v>23</v>
      </c>
      <c r="F114" s="5" t="s">
        <v>311</v>
      </c>
      <c r="G114" s="8" t="str">
        <f ca="1">IFERROR(__xludf.DUMMYFUNCTION("GOOGLETRANSLATE(D114,""zh"",""vi"")"),"bên trong")</f>
        <v>bên trong</v>
      </c>
      <c r="H114" s="9" t="s">
        <v>60</v>
      </c>
      <c r="I114" s="6"/>
    </row>
    <row r="115" spans="1:9">
      <c r="A115" s="4">
        <v>114</v>
      </c>
      <c r="B115" s="5">
        <v>4</v>
      </c>
      <c r="C115" s="6" t="s">
        <v>17</v>
      </c>
      <c r="D115" s="12" t="s">
        <v>312</v>
      </c>
      <c r="E115" s="6" t="s">
        <v>19</v>
      </c>
      <c r="F115" s="5" t="s">
        <v>313</v>
      </c>
      <c r="G115" s="8" t="str">
        <f ca="1">IFERROR(__xludf.DUMMYFUNCTION("GOOGLETRANSLATE(D115,""zh"",""vi"")"),"hai")</f>
        <v>hai</v>
      </c>
      <c r="H115" s="9" t="s">
        <v>21</v>
      </c>
      <c r="I115" s="6"/>
    </row>
    <row r="116" spans="1:9">
      <c r="A116" s="4">
        <v>115</v>
      </c>
      <c r="B116" s="5">
        <v>4</v>
      </c>
      <c r="C116" s="6" t="s">
        <v>17</v>
      </c>
      <c r="D116" s="12" t="s">
        <v>314</v>
      </c>
      <c r="E116" s="6" t="s">
        <v>19</v>
      </c>
      <c r="F116" s="5" t="s">
        <v>315</v>
      </c>
      <c r="G116" s="8" t="str">
        <f ca="1">IFERROR(__xludf.DUMMYFUNCTION("GOOGLETRANSLATE(D116,""zh"",""vi"")"),"số không")</f>
        <v>số không</v>
      </c>
      <c r="H116" s="9" t="s">
        <v>21</v>
      </c>
      <c r="I116" s="6"/>
    </row>
    <row r="117" spans="1:9">
      <c r="A117" s="4">
        <v>116</v>
      </c>
      <c r="B117" s="5">
        <v>4</v>
      </c>
      <c r="C117" s="6" t="s">
        <v>17</v>
      </c>
      <c r="D117" s="12" t="s">
        <v>316</v>
      </c>
      <c r="E117" s="6" t="s">
        <v>19</v>
      </c>
      <c r="F117" s="5" t="s">
        <v>317</v>
      </c>
      <c r="G117" s="8" t="str">
        <f ca="1">IFERROR(__xludf.DUMMYFUNCTION("GOOGLETRANSLATE(D117,""zh"",""vi"")"),"sáu")</f>
        <v>sáu</v>
      </c>
      <c r="H117" s="9" t="s">
        <v>21</v>
      </c>
      <c r="I117" s="6"/>
    </row>
    <row r="118" spans="1:9">
      <c r="A118" s="4">
        <v>117</v>
      </c>
      <c r="B118" s="5">
        <v>4</v>
      </c>
      <c r="C118" s="6" t="s">
        <v>17</v>
      </c>
      <c r="D118" s="12" t="s">
        <v>318</v>
      </c>
      <c r="E118" s="6" t="s">
        <v>23</v>
      </c>
      <c r="F118" s="5" t="s">
        <v>319</v>
      </c>
      <c r="G118" s="8" t="str">
        <f ca="1">IFERROR(__xludf.DUMMYFUNCTION("GOOGLETRANSLATE(D118,""zh"",""vi"")"),"Mẹ")</f>
        <v>Mẹ</v>
      </c>
      <c r="H118" s="9" t="s">
        <v>7</v>
      </c>
      <c r="I118" s="6"/>
    </row>
    <row r="119" spans="1:9">
      <c r="A119" s="4">
        <v>118</v>
      </c>
      <c r="B119" s="5">
        <v>3</v>
      </c>
      <c r="C119" s="6" t="s">
        <v>118</v>
      </c>
      <c r="D119" s="12" t="s">
        <v>320</v>
      </c>
      <c r="E119" s="6" t="s">
        <v>27</v>
      </c>
      <c r="F119" s="5" t="s">
        <v>321</v>
      </c>
      <c r="G119" s="8" t="str">
        <f ca="1">IFERROR(__xludf.DUMMYFUNCTION("GOOGLETRANSLATE(D119,""zh"",""vi"")"),"Ma")</f>
        <v>Ma</v>
      </c>
      <c r="H119" s="9" t="s">
        <v>30</v>
      </c>
      <c r="I119" s="6"/>
    </row>
    <row r="120" spans="1:9">
      <c r="A120" s="4">
        <v>119</v>
      </c>
      <c r="B120" s="5">
        <v>6</v>
      </c>
      <c r="C120" s="6" t="s">
        <v>39</v>
      </c>
      <c r="D120" s="12" t="s">
        <v>322</v>
      </c>
      <c r="E120" s="6" t="s">
        <v>12</v>
      </c>
      <c r="F120" s="5" t="s">
        <v>323</v>
      </c>
      <c r="G120" s="8" t="str">
        <f ca="1">IFERROR(__xludf.DUMMYFUNCTION("GOOGLETRANSLATE(D120,""zh"",""vi"")"),"mua")</f>
        <v>mua</v>
      </c>
      <c r="H120" s="9" t="s">
        <v>87</v>
      </c>
      <c r="I120" s="6"/>
    </row>
    <row r="121" spans="1:9">
      <c r="A121" s="4">
        <v>120</v>
      </c>
      <c r="B121" s="5">
        <v>13</v>
      </c>
      <c r="C121" s="6" t="s">
        <v>43</v>
      </c>
      <c r="D121" s="12" t="s">
        <v>324</v>
      </c>
      <c r="E121" s="6" t="s">
        <v>12</v>
      </c>
      <c r="F121" s="5" t="s">
        <v>325</v>
      </c>
      <c r="G121" s="8" t="str">
        <f ca="1">IFERROR(__xludf.DUMMYFUNCTION("GOOGLETRANSLATE(D121,""zh"",""vi"")"),"Bán")</f>
        <v>Bán</v>
      </c>
      <c r="H121" s="9" t="s">
        <v>87</v>
      </c>
      <c r="I121" s="6"/>
    </row>
    <row r="122" spans="1:9">
      <c r="A122" s="4">
        <v>121</v>
      </c>
      <c r="B122" s="5">
        <v>3</v>
      </c>
      <c r="C122" s="6" t="s">
        <v>118</v>
      </c>
      <c r="D122" s="12" t="s">
        <v>326</v>
      </c>
      <c r="E122" s="6" t="s">
        <v>105</v>
      </c>
      <c r="F122" s="5" t="s">
        <v>327</v>
      </c>
      <c r="G122" s="8" t="str">
        <f ca="1">IFERROR(__xludf.DUMMYFUNCTION("GOOGLETRANSLATE(D122,""zh"",""vi"")"),"bận")</f>
        <v>bận</v>
      </c>
      <c r="H122" s="9" t="s">
        <v>107</v>
      </c>
      <c r="I122" s="6"/>
    </row>
    <row r="123" spans="1:9">
      <c r="A123" s="4">
        <v>122</v>
      </c>
      <c r="B123" s="5">
        <v>8</v>
      </c>
      <c r="C123" s="6" t="s">
        <v>65</v>
      </c>
      <c r="D123" s="12" t="s">
        <v>328</v>
      </c>
      <c r="E123" s="6" t="s">
        <v>23</v>
      </c>
      <c r="F123" s="5" t="s">
        <v>329</v>
      </c>
      <c r="G123" s="8" t="str">
        <f ca="1">IFERROR(__xludf.DUMMYFUNCTION("GOOGLETRANSLATE(D123,""zh"",""vi"")"),"con mèo")</f>
        <v>con mèo</v>
      </c>
      <c r="H123" s="9" t="s">
        <v>203</v>
      </c>
      <c r="I123" s="6"/>
    </row>
    <row r="124" spans="1:9">
      <c r="A124" s="4">
        <v>123</v>
      </c>
      <c r="B124" s="5">
        <v>8</v>
      </c>
      <c r="C124" s="6" t="s">
        <v>65</v>
      </c>
      <c r="D124" s="12" t="s">
        <v>330</v>
      </c>
      <c r="E124" s="6" t="s">
        <v>74</v>
      </c>
      <c r="F124" s="5" t="s">
        <v>331</v>
      </c>
      <c r="G124" s="8" t="str">
        <f ca="1">IFERROR(__xludf.DUMMYFUNCTION("GOOGLETRANSLATE(D124,""zh"",""vi"")"),"không có")</f>
        <v>không có</v>
      </c>
      <c r="H124" s="9" t="s">
        <v>30</v>
      </c>
      <c r="I124" s="6"/>
    </row>
    <row r="125" spans="1:9">
      <c r="A125" s="4">
        <v>124</v>
      </c>
      <c r="B125" s="5">
        <v>2</v>
      </c>
      <c r="C125" s="6" t="s">
        <v>76</v>
      </c>
      <c r="D125" s="12" t="s">
        <v>332</v>
      </c>
      <c r="E125" s="6"/>
      <c r="F125" s="5" t="s">
        <v>333</v>
      </c>
      <c r="G125" s="8" t="str">
        <f ca="1">IFERROR(__xludf.DUMMYFUNCTION("GOOGLETRANSLATE(D125,""zh"",""vi"")"),"Điều đó không quan trọng")</f>
        <v>Điều đó không quan trọng</v>
      </c>
      <c r="H125" s="9" t="s">
        <v>30</v>
      </c>
      <c r="I125" s="6"/>
    </row>
    <row r="126" spans="1:9">
      <c r="A126" s="4">
        <v>125</v>
      </c>
      <c r="B126" s="5">
        <v>2</v>
      </c>
      <c r="C126" s="6" t="s">
        <v>76</v>
      </c>
      <c r="D126" s="12" t="s">
        <v>334</v>
      </c>
      <c r="E126" s="6" t="s">
        <v>12</v>
      </c>
      <c r="F126" s="5" t="s">
        <v>335</v>
      </c>
      <c r="G126" s="8" t="s">
        <v>336</v>
      </c>
      <c r="H126" s="9" t="s">
        <v>30</v>
      </c>
      <c r="I126" s="6"/>
    </row>
    <row r="127" spans="1:9">
      <c r="A127" s="4">
        <v>126</v>
      </c>
      <c r="B127" s="5">
        <v>4</v>
      </c>
      <c r="C127" s="6" t="s">
        <v>17</v>
      </c>
      <c r="D127" s="12" t="s">
        <v>337</v>
      </c>
      <c r="E127" s="6" t="s">
        <v>12</v>
      </c>
      <c r="F127" s="5" t="s">
        <v>338</v>
      </c>
      <c r="G127" s="8" t="str">
        <f ca="1">IFERROR(__xludf.DUMMYFUNCTION("GOOGLETRANSLATE(D127,""zh"",""vi"")"),"KHÔNG")</f>
        <v>KHÔNG</v>
      </c>
      <c r="H127" s="9" t="s">
        <v>30</v>
      </c>
      <c r="I127" s="6"/>
    </row>
    <row r="128" spans="1:9">
      <c r="A128" s="4">
        <v>127</v>
      </c>
      <c r="B128" s="5">
        <v>4</v>
      </c>
      <c r="C128" s="6" t="s">
        <v>17</v>
      </c>
      <c r="D128" s="12" t="s">
        <v>339</v>
      </c>
      <c r="E128" s="6" t="s">
        <v>23</v>
      </c>
      <c r="F128" s="5" t="s">
        <v>340</v>
      </c>
      <c r="G128" s="8" t="str">
        <f ca="1">IFERROR(__xludf.DUMMYFUNCTION("GOOGLETRANSLATE(D128,""zh"",""vi"")"),"em gái")</f>
        <v>em gái</v>
      </c>
      <c r="H128" s="9" t="s">
        <v>7</v>
      </c>
      <c r="I128" s="6"/>
    </row>
    <row r="129" spans="1:9">
      <c r="A129" s="4">
        <v>128</v>
      </c>
      <c r="B129" s="5">
        <v>1</v>
      </c>
      <c r="C129" s="6" t="s">
        <v>69</v>
      </c>
      <c r="D129" s="12" t="s">
        <v>341</v>
      </c>
      <c r="E129" s="6" t="s">
        <v>342</v>
      </c>
      <c r="F129" s="5" t="s">
        <v>343</v>
      </c>
      <c r="G129" s="8" t="str">
        <f ca="1">IFERROR(__xludf.DUMMYFUNCTION("GOOGLETRANSLATE(D129,""zh"",""vi"")"),"Họ")</f>
        <v>Họ</v>
      </c>
      <c r="H129" s="9" t="s">
        <v>7</v>
      </c>
      <c r="I129" s="6"/>
    </row>
    <row r="130" spans="1:9">
      <c r="A130" s="4">
        <v>129</v>
      </c>
      <c r="B130" s="5">
        <v>6</v>
      </c>
      <c r="C130" s="6" t="s">
        <v>39</v>
      </c>
      <c r="D130" s="12" t="s">
        <v>344</v>
      </c>
      <c r="E130" s="6" t="s">
        <v>23</v>
      </c>
      <c r="F130" s="5" t="s">
        <v>345</v>
      </c>
      <c r="G130" s="8" t="str">
        <f ca="1">IFERROR(__xludf.DUMMYFUNCTION("GOOGLETRANSLATE(D130,""zh"",""vi"")"),"cơm")</f>
        <v>cơm</v>
      </c>
      <c r="H130" s="9" t="s">
        <v>42</v>
      </c>
      <c r="I130" s="6"/>
    </row>
    <row r="131" spans="1:9">
      <c r="A131" s="4">
        <v>130</v>
      </c>
      <c r="B131" s="5">
        <v>13</v>
      </c>
      <c r="C131" s="6" t="s">
        <v>43</v>
      </c>
      <c r="D131" s="12" t="s">
        <v>346</v>
      </c>
      <c r="E131" s="6" t="s">
        <v>23</v>
      </c>
      <c r="F131" s="5" t="s">
        <v>347</v>
      </c>
      <c r="G131" s="8" t="str">
        <f ca="1">IFERROR(__xludf.DUMMYFUNCTION("GOOGLETRANSLATE(D131,""zh"",""vi"")"),"bánh mỳ")</f>
        <v>bánh mỳ</v>
      </c>
      <c r="H131" s="9" t="s">
        <v>42</v>
      </c>
      <c r="I131" s="6"/>
    </row>
    <row r="132" spans="1:9">
      <c r="A132" s="4">
        <v>131</v>
      </c>
      <c r="B132" s="5">
        <v>5</v>
      </c>
      <c r="C132" s="6" t="s">
        <v>132</v>
      </c>
      <c r="D132" s="12" t="s">
        <v>348</v>
      </c>
      <c r="E132" s="6" t="s">
        <v>23</v>
      </c>
      <c r="F132" s="5" t="s">
        <v>349</v>
      </c>
      <c r="G132" s="8" t="str">
        <f ca="1">IFERROR(__xludf.DUMMYFUNCTION("GOOGLETRANSLATE(D132,""zh"",""vi"")"),"mì")</f>
        <v>mì</v>
      </c>
      <c r="H132" s="9" t="s">
        <v>42</v>
      </c>
      <c r="I132" s="6"/>
    </row>
    <row r="133" spans="1:9">
      <c r="A133" s="4">
        <v>132</v>
      </c>
      <c r="B133" s="5">
        <v>2</v>
      </c>
      <c r="C133" s="6" t="s">
        <v>76</v>
      </c>
      <c r="D133" s="12" t="s">
        <v>350</v>
      </c>
      <c r="E133" s="6" t="s">
        <v>23</v>
      </c>
      <c r="F133" s="5" t="s">
        <v>351</v>
      </c>
      <c r="G133" s="8" t="str">
        <f ca="1">IFERROR(__xludf.DUMMYFUNCTION("GOOGLETRANSLATE(D133,""zh"",""vi"")"),"tên")</f>
        <v>tên</v>
      </c>
      <c r="H133" s="9" t="s">
        <v>7</v>
      </c>
      <c r="I133" s="6"/>
    </row>
    <row r="134" spans="1:9">
      <c r="A134" s="4">
        <v>133</v>
      </c>
      <c r="B134" s="5">
        <v>14</v>
      </c>
      <c r="C134" s="6" t="s">
        <v>72</v>
      </c>
      <c r="D134" s="12" t="s">
        <v>352</v>
      </c>
      <c r="E134" s="6" t="s">
        <v>23</v>
      </c>
      <c r="F134" s="5" t="s">
        <v>353</v>
      </c>
      <c r="G134" s="8" t="str">
        <f ca="1">IFERROR(__xludf.DUMMYFUNCTION("GOOGLETRANSLATE(D134,""zh"",""vi"")"),"năm tới")</f>
        <v>năm tới</v>
      </c>
      <c r="H134" s="9" t="s">
        <v>34</v>
      </c>
      <c r="I134" s="6"/>
    </row>
    <row r="135" spans="1:9">
      <c r="A135" s="4">
        <v>134</v>
      </c>
      <c r="B135" s="5">
        <v>6</v>
      </c>
      <c r="C135" s="6" t="s">
        <v>39</v>
      </c>
      <c r="D135" s="12" t="s">
        <v>354</v>
      </c>
      <c r="E135" s="6" t="s">
        <v>23</v>
      </c>
      <c r="F135" s="5" t="s">
        <v>355</v>
      </c>
      <c r="G135" s="8" t="str">
        <f ca="1">IFERROR(__xludf.DUMMYFUNCTION("GOOGLETRANSLATE(D135,""zh"",""vi"")"),"Ngày mai")</f>
        <v>Ngày mai</v>
      </c>
      <c r="H135" s="9" t="s">
        <v>34</v>
      </c>
      <c r="I135" s="6"/>
    </row>
    <row r="136" spans="1:9">
      <c r="A136" s="4">
        <v>135</v>
      </c>
      <c r="B136" s="5">
        <v>3</v>
      </c>
      <c r="C136" s="6" t="s">
        <v>118</v>
      </c>
      <c r="D136" s="12" t="s">
        <v>356</v>
      </c>
      <c r="E136" s="6" t="s">
        <v>109</v>
      </c>
      <c r="F136" s="5" t="s">
        <v>357</v>
      </c>
      <c r="G136" s="8" t="str">
        <f ca="1">IFERROR(__xludf.DUMMYFUNCTION("GOOGLETRANSLATE(D136,""zh"",""vi"")"),"Ở đâu")</f>
        <v>Ở đâu</v>
      </c>
      <c r="H136" s="9" t="s">
        <v>90</v>
      </c>
      <c r="I136" s="6"/>
    </row>
    <row r="137" spans="1:9">
      <c r="A137" s="4">
        <v>136</v>
      </c>
      <c r="B137" s="5">
        <v>15</v>
      </c>
      <c r="C137" s="6" t="s">
        <v>10</v>
      </c>
      <c r="D137" s="12" t="s">
        <v>358</v>
      </c>
      <c r="E137" s="6" t="s">
        <v>109</v>
      </c>
      <c r="F137" s="5" t="s">
        <v>359</v>
      </c>
      <c r="G137" s="8" t="str">
        <f ca="1">IFERROR(__xludf.DUMMYFUNCTION("GOOGLETRANSLATE(D137,""zh"",""vi"")"),"Cái mà")</f>
        <v>Cái mà</v>
      </c>
      <c r="H137" s="9" t="s">
        <v>30</v>
      </c>
      <c r="I137" s="6"/>
    </row>
    <row r="138" spans="1:9">
      <c r="A138" s="4">
        <v>137</v>
      </c>
      <c r="B138" s="5">
        <v>11</v>
      </c>
      <c r="C138" s="6" t="s">
        <v>91</v>
      </c>
      <c r="D138" s="12" t="s">
        <v>360</v>
      </c>
      <c r="E138" s="6" t="s">
        <v>109</v>
      </c>
      <c r="F138" s="5" t="s">
        <v>361</v>
      </c>
      <c r="G138" s="8" t="str">
        <f ca="1">IFERROR(__xludf.DUMMYFUNCTION("GOOGLETRANSLATE(D138,""zh"",""vi"")"),"Ở đâu")</f>
        <v>Ở đâu</v>
      </c>
      <c r="H138" s="9" t="s">
        <v>60</v>
      </c>
      <c r="I138" s="6"/>
    </row>
    <row r="139" spans="1:9">
      <c r="A139" s="4">
        <v>138</v>
      </c>
      <c r="B139" s="5">
        <v>6</v>
      </c>
      <c r="C139" s="6" t="s">
        <v>39</v>
      </c>
      <c r="D139" s="12" t="s">
        <v>362</v>
      </c>
      <c r="E139" s="6" t="s">
        <v>109</v>
      </c>
      <c r="F139" s="5" t="s">
        <v>363</v>
      </c>
      <c r="G139" s="8" t="str">
        <f ca="1">IFERROR(__xludf.DUMMYFUNCTION("GOOGLETRANSLATE(D139,""zh"",""vi"")"),"Ở đâu")</f>
        <v>Ở đâu</v>
      </c>
      <c r="H139" s="9" t="s">
        <v>90</v>
      </c>
      <c r="I139" s="6"/>
    </row>
    <row r="140" spans="1:9">
      <c r="A140" s="4">
        <v>139</v>
      </c>
      <c r="B140" s="5">
        <v>14</v>
      </c>
      <c r="C140" s="6" t="s">
        <v>72</v>
      </c>
      <c r="D140" s="12" t="s">
        <v>364</v>
      </c>
      <c r="E140" s="6" t="s">
        <v>74</v>
      </c>
      <c r="F140" s="5" t="s">
        <v>365</v>
      </c>
      <c r="G140" s="8" t="str">
        <f ca="1">IFERROR(__xludf.DUMMYFUNCTION("GOOGLETRANSLATE(D140,""zh"",""vi"")"),"Cái mà")</f>
        <v>Cái mà</v>
      </c>
      <c r="H140" s="9" t="s">
        <v>30</v>
      </c>
      <c r="I140" s="6"/>
    </row>
    <row r="141" spans="1:9">
      <c r="A141" s="4">
        <v>140</v>
      </c>
      <c r="B141" s="5">
        <v>9.15</v>
      </c>
      <c r="C141" s="6" t="s">
        <v>366</v>
      </c>
      <c r="D141" s="12" t="s">
        <v>367</v>
      </c>
      <c r="E141" s="6" t="s">
        <v>109</v>
      </c>
      <c r="F141" s="5" t="s">
        <v>368</v>
      </c>
      <c r="G141" s="8" t="str">
        <f ca="1">IFERROR(__xludf.DUMMYFUNCTION("GOOGLETRANSLATE(D141,""zh"",""vi"")"),"Cái đó")</f>
        <v>Cái đó</v>
      </c>
      <c r="H141" s="9" t="s">
        <v>30</v>
      </c>
      <c r="I141" s="6"/>
    </row>
    <row r="142" spans="1:9">
      <c r="A142" s="4">
        <v>141</v>
      </c>
      <c r="B142" s="5">
        <v>6</v>
      </c>
      <c r="C142" s="6" t="s">
        <v>39</v>
      </c>
      <c r="D142" s="12" t="s">
        <v>369</v>
      </c>
      <c r="E142" s="6" t="s">
        <v>109</v>
      </c>
      <c r="F142" s="5" t="s">
        <v>370</v>
      </c>
      <c r="G142" s="8" t="str">
        <f ca="1">IFERROR(__xludf.DUMMYFUNCTION("GOOGLETRANSLATE(D142,""zh"",""vi"")"),"ở đó")</f>
        <v>ở đó</v>
      </c>
      <c r="H142" s="9" t="s">
        <v>60</v>
      </c>
      <c r="I142" s="6"/>
    </row>
    <row r="143" spans="1:9">
      <c r="A143" s="4">
        <v>142</v>
      </c>
      <c r="B143" s="5">
        <v>9</v>
      </c>
      <c r="C143" s="6" t="s">
        <v>31</v>
      </c>
      <c r="D143" s="12" t="s">
        <v>371</v>
      </c>
      <c r="E143" s="6" t="s">
        <v>109</v>
      </c>
      <c r="F143" s="5" t="s">
        <v>372</v>
      </c>
      <c r="G143" s="8" t="str">
        <f ca="1">IFERROR(__xludf.DUMMYFUNCTION("GOOGLETRANSLATE(D143,""zh"",""vi"")"),"cái đó")</f>
        <v>cái đó</v>
      </c>
      <c r="H143" s="9" t="s">
        <v>60</v>
      </c>
      <c r="I143" s="6"/>
    </row>
    <row r="144" spans="1:9">
      <c r="A144" s="4">
        <v>143</v>
      </c>
      <c r="B144" s="5">
        <v>11</v>
      </c>
      <c r="C144" s="6" t="s">
        <v>91</v>
      </c>
      <c r="D144" s="12" t="s">
        <v>373</v>
      </c>
      <c r="E144" s="6" t="s">
        <v>109</v>
      </c>
      <c r="F144" s="5" t="s">
        <v>374</v>
      </c>
      <c r="G144" s="8" t="str">
        <f ca="1">IFERROR(__xludf.DUMMYFUNCTION("GOOGLETRANSLATE(D144,""zh"",""vi"")"),"Ở đó")</f>
        <v>Ở đó</v>
      </c>
      <c r="H144" s="9" t="s">
        <v>90</v>
      </c>
      <c r="I144" s="6"/>
    </row>
    <row r="145" spans="1:9">
      <c r="A145" s="4">
        <v>144</v>
      </c>
      <c r="B145" s="5">
        <v>10</v>
      </c>
      <c r="C145" s="6" t="s">
        <v>49</v>
      </c>
      <c r="D145" s="12" t="s">
        <v>375</v>
      </c>
      <c r="E145" s="6" t="s">
        <v>109</v>
      </c>
      <c r="F145" s="5" t="s">
        <v>376</v>
      </c>
      <c r="G145" s="8" t="str">
        <f ca="1">IFERROR(__xludf.DUMMYFUNCTION("GOOGLETRANSLATE(D145,""zh"",""vi"")"),"ở đó")</f>
        <v>ở đó</v>
      </c>
      <c r="H145" s="9" t="s">
        <v>90</v>
      </c>
      <c r="I145" s="6"/>
    </row>
    <row r="146" spans="1:9">
      <c r="A146" s="4">
        <v>145</v>
      </c>
      <c r="B146" s="5">
        <v>10</v>
      </c>
      <c r="C146" s="6" t="s">
        <v>49</v>
      </c>
      <c r="D146" s="12" t="s">
        <v>377</v>
      </c>
      <c r="E146" s="6" t="s">
        <v>109</v>
      </c>
      <c r="F146" s="5" t="s">
        <v>378</v>
      </c>
      <c r="G146" s="8" t="str">
        <f ca="1">IFERROR(__xludf.DUMMYFUNCTION("GOOGLETRANSLATE(D146,""zh"",""vi"")"),"Những cái đó")</f>
        <v>Những cái đó</v>
      </c>
      <c r="H146" s="9" t="s">
        <v>30</v>
      </c>
      <c r="I146" s="6"/>
    </row>
    <row r="147" spans="1:9">
      <c r="A147" s="4">
        <v>146</v>
      </c>
      <c r="B147" s="5">
        <v>10</v>
      </c>
      <c r="C147" s="6" t="s">
        <v>49</v>
      </c>
      <c r="D147" s="12" t="s">
        <v>379</v>
      </c>
      <c r="E147" s="6" t="s">
        <v>105</v>
      </c>
      <c r="F147" s="5" t="s">
        <v>380</v>
      </c>
      <c r="G147" s="8" t="str">
        <f ca="1">IFERROR(__xludf.DUMMYFUNCTION("GOOGLETRANSLATE(D147,""zh"",""vi"")"),"nam giới")</f>
        <v>nam giới</v>
      </c>
      <c r="H147" s="9" t="s">
        <v>7</v>
      </c>
      <c r="I147" s="6"/>
    </row>
    <row r="148" spans="1:9">
      <c r="A148" s="4">
        <v>147</v>
      </c>
      <c r="B148" s="5">
        <v>15</v>
      </c>
      <c r="C148" s="6" t="s">
        <v>10</v>
      </c>
      <c r="D148" s="12" t="s">
        <v>381</v>
      </c>
      <c r="E148" s="6" t="s">
        <v>23</v>
      </c>
      <c r="F148" s="5" t="s">
        <v>382</v>
      </c>
      <c r="G148" s="8" t="str">
        <f ca="1">IFERROR(__xludf.DUMMYFUNCTION("GOOGLETRANSLATE(D148,""zh"",""vi"")"),"Bạn trai")</f>
        <v>Bạn trai</v>
      </c>
      <c r="H148" s="9" t="s">
        <v>7</v>
      </c>
      <c r="I148" s="6"/>
    </row>
    <row r="149" spans="1:9">
      <c r="A149" s="4">
        <v>148</v>
      </c>
      <c r="B149" s="5">
        <v>4.7</v>
      </c>
      <c r="C149" s="6" t="s">
        <v>383</v>
      </c>
      <c r="D149" s="12" t="s">
        <v>384</v>
      </c>
      <c r="E149" s="6" t="s">
        <v>27</v>
      </c>
      <c r="F149" s="5" t="s">
        <v>385</v>
      </c>
      <c r="G149" s="8" t="s">
        <v>386</v>
      </c>
      <c r="H149" s="9" t="s">
        <v>30</v>
      </c>
      <c r="I149" s="6"/>
    </row>
    <row r="150" spans="1:9">
      <c r="A150" s="4">
        <v>149</v>
      </c>
      <c r="B150" s="5">
        <v>8</v>
      </c>
      <c r="C150" s="13" t="s">
        <v>31</v>
      </c>
      <c r="D150" s="12" t="s">
        <v>387</v>
      </c>
      <c r="E150" s="6" t="s">
        <v>238</v>
      </c>
      <c r="F150" s="5" t="s">
        <v>388</v>
      </c>
      <c r="G150" s="8" t="str">
        <f ca="1">IFERROR(__xludf.DUMMYFUNCTION("GOOGLETRANSLATE(D150,""zh"",""vi"")"),"có thể")</f>
        <v>có thể</v>
      </c>
      <c r="H150" s="9" t="s">
        <v>30</v>
      </c>
      <c r="I150" s="6"/>
    </row>
    <row r="151" spans="1:9">
      <c r="A151" s="4">
        <v>150</v>
      </c>
      <c r="B151" s="5">
        <v>2</v>
      </c>
      <c r="C151" s="6" t="s">
        <v>76</v>
      </c>
      <c r="D151" s="12" t="s">
        <v>389</v>
      </c>
      <c r="E151" s="6" t="s">
        <v>23</v>
      </c>
      <c r="F151" s="5" t="s">
        <v>390</v>
      </c>
      <c r="G151" s="8" t="str">
        <f ca="1">IFERROR(__xludf.DUMMYFUNCTION("GOOGLETRANSLATE(D151,""zh"",""vi"")"),"Bạn")</f>
        <v>Bạn</v>
      </c>
      <c r="H151" s="9" t="s">
        <v>7</v>
      </c>
      <c r="I151" s="6"/>
    </row>
    <row r="152" spans="1:9">
      <c r="A152" s="4">
        <v>151</v>
      </c>
      <c r="B152" s="5">
        <v>1</v>
      </c>
      <c r="C152" s="6" t="s">
        <v>69</v>
      </c>
      <c r="D152" s="12" t="s">
        <v>391</v>
      </c>
      <c r="E152" s="6"/>
      <c r="F152" s="5" t="s">
        <v>392</v>
      </c>
      <c r="G152" s="8" t="str">
        <f ca="1">IFERROR(__xludf.DUMMYFUNCTION("GOOGLETRANSLATE(D152,""zh"",""vi"")"),"Xin chào")</f>
        <v>Xin chào</v>
      </c>
      <c r="H152" s="9" t="s">
        <v>30</v>
      </c>
      <c r="I152" s="6"/>
    </row>
    <row r="153" spans="1:9">
      <c r="A153" s="4">
        <v>152</v>
      </c>
      <c r="B153" s="5">
        <v>1</v>
      </c>
      <c r="C153" s="6" t="s">
        <v>69</v>
      </c>
      <c r="D153" s="12" t="s">
        <v>393</v>
      </c>
      <c r="E153" s="6" t="s">
        <v>109</v>
      </c>
      <c r="F153" s="5" t="s">
        <v>394</v>
      </c>
      <c r="G153" s="8" t="str">
        <f ca="1">IFERROR(__xludf.DUMMYFUNCTION("GOOGLETRANSLATE(D153,""zh"",""vi"")"),"Bạn")</f>
        <v>Bạn</v>
      </c>
      <c r="H153" s="9" t="s">
        <v>7</v>
      </c>
      <c r="I153" s="6"/>
    </row>
    <row r="154" spans="1:9">
      <c r="A154" s="4">
        <v>153</v>
      </c>
      <c r="B154" s="5">
        <v>15</v>
      </c>
      <c r="C154" s="6" t="s">
        <v>10</v>
      </c>
      <c r="D154" s="12" t="s">
        <v>395</v>
      </c>
      <c r="E154" s="6" t="s">
        <v>23</v>
      </c>
      <c r="F154" s="5" t="s">
        <v>396</v>
      </c>
      <c r="G154" s="8" t="str">
        <f ca="1">IFERROR(__xludf.DUMMYFUNCTION("GOOGLETRANSLATE(D154,""zh"",""vi"")"),"Năm")</f>
        <v>Năm</v>
      </c>
      <c r="H154" s="9" t="s">
        <v>34</v>
      </c>
      <c r="I154" s="6"/>
    </row>
    <row r="155" spans="1:9">
      <c r="A155" s="4">
        <v>154</v>
      </c>
      <c r="B155" s="5">
        <v>1</v>
      </c>
      <c r="C155" s="6" t="s">
        <v>69</v>
      </c>
      <c r="D155" s="12" t="s">
        <v>397</v>
      </c>
      <c r="E155" s="6" t="s">
        <v>109</v>
      </c>
      <c r="F155" s="5" t="s">
        <v>398</v>
      </c>
      <c r="G155" s="8" t="str">
        <f ca="1">IFERROR(__xludf.DUMMYFUNCTION("GOOGLETRANSLATE(D155,""zh"",""vi"")"),"Bạn")</f>
        <v>Bạn</v>
      </c>
      <c r="H155" s="9" t="s">
        <v>7</v>
      </c>
      <c r="I155" s="6"/>
    </row>
    <row r="156" spans="1:9">
      <c r="A156" s="4">
        <v>155</v>
      </c>
      <c r="B156" s="5">
        <v>6</v>
      </c>
      <c r="C156" s="6" t="s">
        <v>39</v>
      </c>
      <c r="D156" s="12" t="s">
        <v>399</v>
      </c>
      <c r="E156" s="6" t="s">
        <v>23</v>
      </c>
      <c r="F156" s="5" t="s">
        <v>400</v>
      </c>
      <c r="G156" s="8" t="str">
        <f ca="1">IFERROR(__xludf.DUMMYFUNCTION("GOOGLETRANSLATE(D156,""zh"",""vi"")"),"sữa")</f>
        <v>sữa</v>
      </c>
      <c r="H156" s="9" t="s">
        <v>42</v>
      </c>
      <c r="I156" s="6"/>
    </row>
    <row r="157" spans="1:9">
      <c r="A157" s="4">
        <v>156</v>
      </c>
      <c r="B157" s="5">
        <v>10</v>
      </c>
      <c r="C157" s="6" t="s">
        <v>49</v>
      </c>
      <c r="D157" s="12" t="s">
        <v>401</v>
      </c>
      <c r="E157" s="6" t="s">
        <v>105</v>
      </c>
      <c r="F157" s="5" t="s">
        <v>402</v>
      </c>
      <c r="G157" s="8" t="str">
        <f ca="1">IFERROR(__xludf.DUMMYFUNCTION("GOOGLETRANSLATE(D157,""zh"",""vi"")"),"nữ giới")</f>
        <v>nữ giới</v>
      </c>
      <c r="H157" s="9" t="s">
        <v>7</v>
      </c>
      <c r="I157" s="6"/>
    </row>
    <row r="158" spans="1:9">
      <c r="A158" s="4">
        <v>157</v>
      </c>
      <c r="B158" s="5">
        <v>4</v>
      </c>
      <c r="C158" s="6" t="s">
        <v>17</v>
      </c>
      <c r="D158" s="12" t="s">
        <v>403</v>
      </c>
      <c r="E158" s="6" t="s">
        <v>23</v>
      </c>
      <c r="F158" s="5" t="s">
        <v>404</v>
      </c>
      <c r="G158" s="8" t="str">
        <f ca="1">IFERROR(__xludf.DUMMYFUNCTION("GOOGLETRANSLATE(D158,""zh"",""vi"")"),"con gái")</f>
        <v>con gái</v>
      </c>
      <c r="H158" s="9" t="s">
        <v>7</v>
      </c>
      <c r="I158" s="6"/>
    </row>
    <row r="159" spans="1:9">
      <c r="A159" s="4">
        <v>158</v>
      </c>
      <c r="B159" s="5">
        <v>3</v>
      </c>
      <c r="C159" s="6" t="s">
        <v>118</v>
      </c>
      <c r="D159" s="12" t="s">
        <v>405</v>
      </c>
      <c r="E159" s="6" t="s">
        <v>23</v>
      </c>
      <c r="F159" s="5" t="s">
        <v>406</v>
      </c>
      <c r="G159" s="8" t="str">
        <f ca="1">IFERROR(__xludf.DUMMYFUNCTION("GOOGLETRANSLATE(D159,""zh"",""vi"")"),"bạn gái")</f>
        <v>bạn gái</v>
      </c>
      <c r="H159" s="9" t="s">
        <v>7</v>
      </c>
      <c r="I159" s="6"/>
    </row>
    <row r="160" spans="1:9">
      <c r="A160" s="4">
        <v>159</v>
      </c>
      <c r="B160" s="5">
        <v>13</v>
      </c>
      <c r="C160" s="6" t="s">
        <v>43</v>
      </c>
      <c r="D160" s="12" t="s">
        <v>407</v>
      </c>
      <c r="E160" s="6" t="s">
        <v>23</v>
      </c>
      <c r="F160" s="5" t="s">
        <v>408</v>
      </c>
      <c r="G160" s="8" t="str">
        <f ca="1">IFERROR(__xludf.DUMMYFUNCTION("GOOGLETRANSLATE(D160,""zh"",""vi"")"),"Cô")</f>
        <v>Cô</v>
      </c>
      <c r="H160" s="9" t="s">
        <v>7</v>
      </c>
      <c r="I160" s="6"/>
    </row>
    <row r="161" spans="1:9">
      <c r="A161" s="4">
        <v>160</v>
      </c>
      <c r="B161" s="5">
        <v>9</v>
      </c>
      <c r="C161" s="6" t="s">
        <v>31</v>
      </c>
      <c r="D161" s="12" t="s">
        <v>409</v>
      </c>
      <c r="E161" s="6" t="s">
        <v>23</v>
      </c>
      <c r="F161" s="5" t="s">
        <v>410</v>
      </c>
      <c r="G161" s="8" t="str">
        <f ca="1">IFERROR(__xludf.DUMMYFUNCTION("GOOGLETRANSLATE(D161,""zh"",""vi"")"),"bạn bè")</f>
        <v>bạn bè</v>
      </c>
      <c r="H161" s="9" t="s">
        <v>7</v>
      </c>
      <c r="I161" s="6"/>
    </row>
    <row r="162" spans="1:9">
      <c r="A162" s="4">
        <v>161</v>
      </c>
      <c r="B162" s="5">
        <v>10</v>
      </c>
      <c r="C162" s="6" t="s">
        <v>49</v>
      </c>
      <c r="D162" s="12" t="s">
        <v>411</v>
      </c>
      <c r="E162" s="6" t="s">
        <v>105</v>
      </c>
      <c r="F162" s="5" t="s">
        <v>412</v>
      </c>
      <c r="G162" s="8" t="str">
        <f ca="1">IFERROR(__xludf.DUMMYFUNCTION("GOOGLETRANSLATE(D162,""zh"",""vi"")"),"Rẻ")</f>
        <v>Rẻ</v>
      </c>
      <c r="H162" s="9" t="s">
        <v>107</v>
      </c>
      <c r="I162" s="6"/>
    </row>
    <row r="163" spans="1:9">
      <c r="A163" s="4">
        <v>162</v>
      </c>
      <c r="B163" s="5">
        <v>8</v>
      </c>
      <c r="C163" s="13" t="s">
        <v>31</v>
      </c>
      <c r="D163" s="12" t="s">
        <v>413</v>
      </c>
      <c r="E163" s="6" t="s">
        <v>105</v>
      </c>
      <c r="F163" s="5" t="s">
        <v>414</v>
      </c>
      <c r="G163" s="8" t="str">
        <f ca="1">IFERROR(__xludf.DUMMYFUNCTION("GOOGLETRANSLATE(D163,""zh"",""vi"")"),"đẹp")</f>
        <v>đẹp</v>
      </c>
      <c r="H163" s="9" t="s">
        <v>107</v>
      </c>
      <c r="I163" s="6"/>
    </row>
    <row r="164" spans="1:9">
      <c r="A164" s="4">
        <v>163</v>
      </c>
      <c r="B164" s="5">
        <v>10</v>
      </c>
      <c r="C164" s="6" t="s">
        <v>49</v>
      </c>
      <c r="D164" s="12" t="s">
        <v>415</v>
      </c>
      <c r="E164" s="6" t="s">
        <v>23</v>
      </c>
      <c r="F164" s="5" t="s">
        <v>416</v>
      </c>
      <c r="G164" s="8" t="str">
        <f ca="1">IFERROR(__xludf.DUMMYFUNCTION("GOOGLETRANSLATE(D164,""zh"",""vi"")"),"quả táo")</f>
        <v>quả táo</v>
      </c>
      <c r="H164" s="9" t="s">
        <v>42</v>
      </c>
      <c r="I164" s="6"/>
    </row>
    <row r="165" spans="1:9">
      <c r="A165" s="4">
        <v>164</v>
      </c>
      <c r="B165" s="5">
        <v>4</v>
      </c>
      <c r="C165" s="6" t="s">
        <v>17</v>
      </c>
      <c r="D165" s="12" t="s">
        <v>417</v>
      </c>
      <c r="E165" s="6" t="s">
        <v>19</v>
      </c>
      <c r="F165" s="5" t="s">
        <v>418</v>
      </c>
      <c r="G165" s="8" t="str">
        <f ca="1">IFERROR(__xludf.DUMMYFUNCTION("GOOGLETRANSLATE(D165,""zh"",""vi"")"),"bảy")</f>
        <v>bảy</v>
      </c>
      <c r="H165" s="9" t="s">
        <v>21</v>
      </c>
      <c r="I165" s="6"/>
    </row>
    <row r="166" spans="1:9">
      <c r="A166" s="4">
        <v>165</v>
      </c>
      <c r="B166" s="5">
        <v>11</v>
      </c>
      <c r="C166" s="6" t="s">
        <v>91</v>
      </c>
      <c r="D166" s="12" t="s">
        <v>419</v>
      </c>
      <c r="E166" s="6" t="s">
        <v>12</v>
      </c>
      <c r="F166" s="5" t="s">
        <v>420</v>
      </c>
      <c r="G166" s="8" t="str">
        <f ca="1">IFERROR(__xludf.DUMMYFUNCTION("GOOGLETRANSLATE(D166,""zh"",""vi"")"),"thức dậy")</f>
        <v>thức dậy</v>
      </c>
      <c r="H166" s="9" t="s">
        <v>87</v>
      </c>
      <c r="I166" s="6"/>
    </row>
    <row r="167" spans="1:9">
      <c r="A167" s="4">
        <v>166</v>
      </c>
      <c r="B167" s="5">
        <v>4</v>
      </c>
      <c r="C167" s="6" t="s">
        <v>17</v>
      </c>
      <c r="D167" s="12" t="s">
        <v>421</v>
      </c>
      <c r="E167" s="6" t="s">
        <v>19</v>
      </c>
      <c r="F167" s="5" t="s">
        <v>422</v>
      </c>
      <c r="G167" s="8" t="str">
        <f ca="1">IFERROR(__xludf.DUMMYFUNCTION("GOOGLETRANSLATE(D167,""zh"",""vi"")"),"nghìn")</f>
        <v>nghìn</v>
      </c>
      <c r="H167" s="9" t="s">
        <v>21</v>
      </c>
      <c r="I167" s="6"/>
    </row>
    <row r="168" spans="1:9">
      <c r="A168" s="4">
        <v>167</v>
      </c>
      <c r="B168" s="5">
        <v>8</v>
      </c>
      <c r="C168" s="13" t="s">
        <v>31</v>
      </c>
      <c r="D168" s="12" t="s">
        <v>423</v>
      </c>
      <c r="E168" s="6" t="s">
        <v>23</v>
      </c>
      <c r="F168" s="5" t="s">
        <v>424</v>
      </c>
      <c r="G168" s="8" t="str">
        <f ca="1">IFERROR(__xludf.DUMMYFUNCTION("GOOGLETRANSLATE(D168,""zh"",""vi"")"),"phía trước")</f>
        <v>phía trước</v>
      </c>
      <c r="H168" s="9" t="s">
        <v>60</v>
      </c>
      <c r="I168" s="6"/>
    </row>
    <row r="169" spans="1:9">
      <c r="A169" s="4">
        <v>168</v>
      </c>
      <c r="B169" s="5">
        <v>9</v>
      </c>
      <c r="C169" s="6" t="s">
        <v>31</v>
      </c>
      <c r="D169" s="12" t="s">
        <v>425</v>
      </c>
      <c r="E169" s="6" t="s">
        <v>23</v>
      </c>
      <c r="F169" s="5" t="s">
        <v>426</v>
      </c>
      <c r="G169" s="8" t="str">
        <f ca="1">IFERROR(__xludf.DUMMYFUNCTION("GOOGLETRANSLATE(D169,""zh"",""vi"")"),"đằng trước")</f>
        <v>đằng trước</v>
      </c>
      <c r="H169" s="9" t="s">
        <v>60</v>
      </c>
      <c r="I169" s="6"/>
    </row>
    <row r="170" spans="1:9">
      <c r="A170" s="4">
        <v>169</v>
      </c>
      <c r="B170" s="5">
        <v>10</v>
      </c>
      <c r="C170" s="6" t="s">
        <v>49</v>
      </c>
      <c r="D170" s="12" t="s">
        <v>427</v>
      </c>
      <c r="E170" s="6" t="s">
        <v>23</v>
      </c>
      <c r="F170" s="5" t="s">
        <v>424</v>
      </c>
      <c r="G170" s="8" t="str">
        <f ca="1">IFERROR(__xludf.DUMMYFUNCTION("GOOGLETRANSLATE(D170,""zh"",""vi"")"),"tiền bạc")</f>
        <v>tiền bạc</v>
      </c>
      <c r="H170" s="9" t="s">
        <v>48</v>
      </c>
      <c r="I170" s="6"/>
    </row>
    <row r="171" spans="1:9">
      <c r="A171" s="4">
        <v>170</v>
      </c>
      <c r="B171" s="5">
        <v>13</v>
      </c>
      <c r="C171" s="6" t="s">
        <v>43</v>
      </c>
      <c r="D171" s="12" t="s">
        <v>428</v>
      </c>
      <c r="E171" s="6" t="s">
        <v>12</v>
      </c>
      <c r="F171" s="5" t="s">
        <v>429</v>
      </c>
      <c r="G171" s="8" t="str">
        <f ca="1">IFERROR(__xludf.DUMMYFUNCTION("GOOGLETRANSLATE(D171,""zh"",""vi"")"),"Xin vui lòng")</f>
        <v>Xin vui lòng</v>
      </c>
      <c r="H171" s="9" t="s">
        <v>30</v>
      </c>
      <c r="I171" s="6"/>
    </row>
    <row r="172" spans="1:9">
      <c r="A172" s="4">
        <v>171</v>
      </c>
      <c r="B172" s="5">
        <v>2</v>
      </c>
      <c r="C172" s="6" t="s">
        <v>76</v>
      </c>
      <c r="D172" s="12" t="s">
        <v>430</v>
      </c>
      <c r="E172" s="6" t="s">
        <v>12</v>
      </c>
      <c r="F172" s="5" t="s">
        <v>431</v>
      </c>
      <c r="G172" s="8" t="s">
        <v>432</v>
      </c>
      <c r="H172" s="9" t="s">
        <v>150</v>
      </c>
      <c r="I172" s="6"/>
    </row>
    <row r="173" spans="1:9">
      <c r="A173" s="4">
        <v>172</v>
      </c>
      <c r="B173" s="5">
        <v>6</v>
      </c>
      <c r="C173" s="6" t="s">
        <v>39</v>
      </c>
      <c r="D173" s="12" t="s">
        <v>433</v>
      </c>
      <c r="E173" s="6" t="s">
        <v>12</v>
      </c>
      <c r="F173" s="5" t="s">
        <v>434</v>
      </c>
      <c r="G173" s="8" t="str">
        <f ca="1">IFERROR(__xludf.DUMMYFUNCTION("GOOGLETRANSLATE(D173,""zh"",""vi"")"),"đi")</f>
        <v>đi</v>
      </c>
      <c r="H173" s="9" t="s">
        <v>94</v>
      </c>
      <c r="I173" s="6"/>
    </row>
    <row r="174" spans="1:9">
      <c r="A174" s="4">
        <v>173</v>
      </c>
      <c r="B174" s="5">
        <v>15</v>
      </c>
      <c r="C174" s="6" t="s">
        <v>10</v>
      </c>
      <c r="D174" s="12" t="s">
        <v>435</v>
      </c>
      <c r="E174" s="6" t="s">
        <v>23</v>
      </c>
      <c r="F174" s="5" t="s">
        <v>436</v>
      </c>
      <c r="G174" s="8" t="str">
        <f ca="1">IFERROR(__xludf.DUMMYFUNCTION("GOOGLETRANSLATE(D174,""zh"",""vi"")"),"năm ngoái")</f>
        <v>năm ngoái</v>
      </c>
      <c r="H174" s="9" t="s">
        <v>34</v>
      </c>
      <c r="I174" s="6"/>
    </row>
    <row r="175" spans="1:9">
      <c r="A175" s="4">
        <v>174</v>
      </c>
      <c r="B175" s="5">
        <v>12</v>
      </c>
      <c r="C175" s="6" t="s">
        <v>61</v>
      </c>
      <c r="D175" s="12" t="s">
        <v>437</v>
      </c>
      <c r="E175" s="6" t="s">
        <v>105</v>
      </c>
      <c r="F175" s="5" t="s">
        <v>438</v>
      </c>
      <c r="G175" s="8" t="str">
        <f ca="1">IFERROR(__xludf.DUMMYFUNCTION("GOOGLETRANSLATE(D175,""zh"",""vi"")"),"nóng")</f>
        <v>nóng</v>
      </c>
      <c r="H175" s="9" t="s">
        <v>107</v>
      </c>
      <c r="I175" s="6"/>
    </row>
    <row r="176" spans="1:9">
      <c r="A176" s="4">
        <v>175</v>
      </c>
      <c r="B176" s="5">
        <v>3</v>
      </c>
      <c r="C176" s="6" t="s">
        <v>118</v>
      </c>
      <c r="D176" s="12" t="s">
        <v>439</v>
      </c>
      <c r="E176" s="6" t="s">
        <v>23</v>
      </c>
      <c r="F176" s="5" t="s">
        <v>440</v>
      </c>
      <c r="G176" s="8" t="str">
        <f ca="1">IFERROR(__xludf.DUMMYFUNCTION("GOOGLETRANSLATE(D176,""zh"",""vi"")"),"mọi người")</f>
        <v>mọi người</v>
      </c>
      <c r="H176" s="9" t="s">
        <v>7</v>
      </c>
      <c r="I176" s="6"/>
    </row>
    <row r="177" spans="1:9">
      <c r="A177" s="4">
        <v>176</v>
      </c>
      <c r="B177" s="5">
        <v>2</v>
      </c>
      <c r="C177" s="6" t="s">
        <v>76</v>
      </c>
      <c r="D177" s="12" t="s">
        <v>441</v>
      </c>
      <c r="E177" s="6" t="s">
        <v>12</v>
      </c>
      <c r="F177" s="5" t="s">
        <v>442</v>
      </c>
      <c r="G177" s="8" t="str">
        <f ca="1">IFERROR(__xludf.DUMMYFUNCTION("GOOGLETRANSLATE(D177,""zh"",""vi"")"),"biết")</f>
        <v>biết</v>
      </c>
      <c r="H177" s="9" t="s">
        <v>150</v>
      </c>
      <c r="I177" s="6"/>
    </row>
    <row r="178" spans="1:9">
      <c r="A178" s="4">
        <v>177</v>
      </c>
      <c r="B178" s="5">
        <v>5</v>
      </c>
      <c r="C178" s="6" t="s">
        <v>132</v>
      </c>
      <c r="D178" s="12" t="s">
        <v>443</v>
      </c>
      <c r="E178" s="6" t="s">
        <v>54</v>
      </c>
      <c r="F178" s="5" t="s">
        <v>444</v>
      </c>
      <c r="G178" s="8" t="str">
        <f ca="1">IFERROR(__xludf.DUMMYFUNCTION("GOOGLETRANSLATE(D178,""zh"",""vi"")"),"ngày")</f>
        <v>ngày</v>
      </c>
      <c r="H178" s="9" t="s">
        <v>34</v>
      </c>
      <c r="I178" s="6"/>
    </row>
    <row r="179" spans="1:9">
      <c r="A179" s="4">
        <v>178</v>
      </c>
      <c r="B179" s="5">
        <v>4</v>
      </c>
      <c r="C179" s="6" t="s">
        <v>17</v>
      </c>
      <c r="D179" s="12" t="s">
        <v>445</v>
      </c>
      <c r="E179" s="6" t="s">
        <v>19</v>
      </c>
      <c r="F179" s="5" t="s">
        <v>446</v>
      </c>
      <c r="G179" s="8" t="str">
        <f ca="1">IFERROR(__xludf.DUMMYFUNCTION("GOOGLETRANSLATE(D179,""zh"",""vi"")"),"ba")</f>
        <v>ba</v>
      </c>
      <c r="H179" s="9" t="s">
        <v>21</v>
      </c>
      <c r="I179" s="6"/>
    </row>
    <row r="180" spans="1:9">
      <c r="A180" s="4">
        <v>179</v>
      </c>
      <c r="B180" s="5">
        <v>10</v>
      </c>
      <c r="C180" s="6" t="s">
        <v>49</v>
      </c>
      <c r="D180" s="12" t="s">
        <v>447</v>
      </c>
      <c r="E180" s="6" t="s">
        <v>23</v>
      </c>
      <c r="F180" s="5" t="s">
        <v>448</v>
      </c>
      <c r="G180" s="8" t="str">
        <f ca="1">IFERROR(__xludf.DUMMYFUNCTION("GOOGLETRANSLATE(D180,""zh"",""vi"")"),"cửa hàng")</f>
        <v>cửa hàng</v>
      </c>
      <c r="H180" s="9" t="s">
        <v>90</v>
      </c>
      <c r="I180" s="6"/>
    </row>
    <row r="181" spans="1:9">
      <c r="A181" s="4">
        <v>180</v>
      </c>
      <c r="B181" s="5">
        <v>9.14</v>
      </c>
      <c r="C181" s="6" t="s">
        <v>449</v>
      </c>
      <c r="D181" s="12" t="s">
        <v>450</v>
      </c>
      <c r="E181" s="6" t="s">
        <v>451</v>
      </c>
      <c r="F181" s="5" t="s">
        <v>452</v>
      </c>
      <c r="G181" s="8" t="s">
        <v>453</v>
      </c>
      <c r="H181" s="9" t="s">
        <v>60</v>
      </c>
      <c r="I181" s="6"/>
    </row>
    <row r="182" spans="1:9">
      <c r="A182" s="4">
        <v>181</v>
      </c>
      <c r="B182" s="5">
        <v>7</v>
      </c>
      <c r="C182" s="6" t="s">
        <v>25</v>
      </c>
      <c r="D182" s="12" t="s">
        <v>454</v>
      </c>
      <c r="E182" s="6" t="s">
        <v>12</v>
      </c>
      <c r="F182" s="5" t="s">
        <v>455</v>
      </c>
      <c r="G182" s="8" t="str">
        <f ca="1">IFERROR(__xludf.DUMMYFUNCTION("GOOGLETRANSLATE(D182,""zh"",""vi"")"),"công việc")</f>
        <v>công việc</v>
      </c>
      <c r="H182" s="9" t="s">
        <v>115</v>
      </c>
      <c r="I182" s="6"/>
    </row>
    <row r="183" spans="1:9">
      <c r="A183" s="4">
        <v>182</v>
      </c>
      <c r="B183" s="5">
        <v>7</v>
      </c>
      <c r="C183" s="6" t="s">
        <v>25</v>
      </c>
      <c r="D183" s="12" t="s">
        <v>456</v>
      </c>
      <c r="E183" s="6" t="s">
        <v>12</v>
      </c>
      <c r="F183" s="5" t="s">
        <v>457</v>
      </c>
      <c r="G183" s="8" t="str">
        <f ca="1">IFERROR(__xludf.DUMMYFUNCTION("GOOGLETRANSLATE(D183,""zh"",""vi"")"),"Tham gia lớp học")</f>
        <v>Tham gia lớp học</v>
      </c>
      <c r="H183" s="9" t="s">
        <v>115</v>
      </c>
      <c r="I183" s="6"/>
    </row>
    <row r="184" spans="1:9">
      <c r="A184" s="4">
        <v>183</v>
      </c>
      <c r="B184" s="5">
        <v>7</v>
      </c>
      <c r="C184" s="6" t="s">
        <v>25</v>
      </c>
      <c r="D184" s="12" t="s">
        <v>458</v>
      </c>
      <c r="E184" s="6" t="s">
        <v>23</v>
      </c>
      <c r="F184" s="5" t="s">
        <v>459</v>
      </c>
      <c r="G184" s="8" t="str">
        <f ca="1">IFERROR(__xludf.DUMMYFUNCTION("GOOGLETRANSLATE(D184,""zh"",""vi"")"),"buổi sáng")</f>
        <v>buổi sáng</v>
      </c>
      <c r="H184" s="9" t="s">
        <v>34</v>
      </c>
      <c r="I184" s="6"/>
    </row>
    <row r="185" spans="1:9">
      <c r="A185" s="4">
        <v>184</v>
      </c>
      <c r="B185" s="5">
        <v>14</v>
      </c>
      <c r="C185" s="6" t="s">
        <v>72</v>
      </c>
      <c r="D185" s="12" t="s">
        <v>460</v>
      </c>
      <c r="E185" s="6" t="s">
        <v>12</v>
      </c>
      <c r="F185" s="5" t="s">
        <v>461</v>
      </c>
      <c r="G185" s="8" t="str">
        <f ca="1">IFERROR(__xludf.DUMMYFUNCTION("GOOGLETRANSLATE(D185,""zh"",""vi"")"),"đi học")</f>
        <v>đi học</v>
      </c>
      <c r="H185" s="9" t="s">
        <v>115</v>
      </c>
      <c r="I185" s="6"/>
    </row>
    <row r="186" spans="1:9">
      <c r="A186" s="4">
        <v>185</v>
      </c>
      <c r="B186" s="14">
        <v>10</v>
      </c>
      <c r="C186" s="6" t="s">
        <v>49</v>
      </c>
      <c r="D186" s="12" t="s">
        <v>462</v>
      </c>
      <c r="E186" s="6" t="s">
        <v>105</v>
      </c>
      <c r="F186" s="12" t="s">
        <v>463</v>
      </c>
      <c r="G186" s="8" t="str">
        <f ca="1">IFERROR(__xludf.DUMMYFUNCTION("GOOGLETRANSLATE(D186,""zh"",""vi"")"),"một vài")</f>
        <v>một vài</v>
      </c>
      <c r="H186" s="9" t="s">
        <v>107</v>
      </c>
      <c r="I186" s="6"/>
    </row>
    <row r="187" spans="1:9">
      <c r="A187" s="4">
        <v>186</v>
      </c>
      <c r="B187" s="14">
        <v>3</v>
      </c>
      <c r="C187" s="6" t="s">
        <v>118</v>
      </c>
      <c r="D187" s="12" t="s">
        <v>464</v>
      </c>
      <c r="E187" s="6" t="s">
        <v>109</v>
      </c>
      <c r="F187" s="12" t="s">
        <v>465</v>
      </c>
      <c r="G187" s="8" t="str">
        <f ca="1">IFERROR(__xludf.DUMMYFUNCTION("GOOGLETRANSLATE(D187,""zh"",""vi"")"),"Ai")</f>
        <v>Ai</v>
      </c>
      <c r="H187" s="9" t="s">
        <v>7</v>
      </c>
      <c r="I187" s="6"/>
    </row>
    <row r="188" spans="1:9">
      <c r="A188" s="4">
        <v>187</v>
      </c>
      <c r="B188" s="14">
        <v>2</v>
      </c>
      <c r="C188" s="6" t="s">
        <v>76</v>
      </c>
      <c r="D188" s="12" t="s">
        <v>466</v>
      </c>
      <c r="E188" s="6" t="s">
        <v>109</v>
      </c>
      <c r="F188" s="12" t="s">
        <v>467</v>
      </c>
      <c r="G188" s="8" t="str">
        <f ca="1">IFERROR(__xludf.DUMMYFUNCTION("GOOGLETRANSLATE(D188,""zh"",""vi"")"),"Cái gì")</f>
        <v>Cái gì</v>
      </c>
      <c r="H188" s="9" t="s">
        <v>30</v>
      </c>
      <c r="I188" s="6"/>
    </row>
    <row r="189" spans="1:9">
      <c r="A189" s="4">
        <v>188</v>
      </c>
      <c r="B189" s="14">
        <v>12</v>
      </c>
      <c r="C189" s="6" t="s">
        <v>61</v>
      </c>
      <c r="D189" s="12" t="s">
        <v>468</v>
      </c>
      <c r="E189" s="6" t="s">
        <v>12</v>
      </c>
      <c r="F189" s="12" t="s">
        <v>469</v>
      </c>
      <c r="G189" s="8" t="str">
        <f ca="1">IFERROR(__xludf.DUMMYFUNCTION("GOOGLETRANSLATE(D189,""zh"",""vi"")"),"Bị ốm")</f>
        <v>Bị ốm</v>
      </c>
      <c r="H189" s="9" t="s">
        <v>64</v>
      </c>
      <c r="I189" s="6"/>
    </row>
    <row r="190" spans="1:9">
      <c r="A190" s="4">
        <v>189</v>
      </c>
      <c r="B190" s="14">
        <v>4</v>
      </c>
      <c r="C190" s="6" t="s">
        <v>17</v>
      </c>
      <c r="D190" s="12" t="s">
        <v>470</v>
      </c>
      <c r="E190" s="6" t="s">
        <v>19</v>
      </c>
      <c r="F190" s="12" t="s">
        <v>471</v>
      </c>
      <c r="G190" s="8" t="str">
        <f ca="1">IFERROR(__xludf.DUMMYFUNCTION("GOOGLETRANSLATE(D190,""zh"",""vi"")"),"mười")</f>
        <v>mười</v>
      </c>
      <c r="H190" s="9" t="s">
        <v>21</v>
      </c>
      <c r="I190" s="6"/>
    </row>
    <row r="191" spans="1:9">
      <c r="A191" s="4">
        <v>190</v>
      </c>
      <c r="B191" s="14">
        <v>11</v>
      </c>
      <c r="C191" s="6" t="s">
        <v>91</v>
      </c>
      <c r="D191" s="12" t="s">
        <v>472</v>
      </c>
      <c r="E191" s="6" t="s">
        <v>23</v>
      </c>
      <c r="F191" s="12" t="s">
        <v>473</v>
      </c>
      <c r="G191" s="8" t="str">
        <f ca="1">IFERROR(__xludf.DUMMYFUNCTION("GOOGLETRANSLATE(D191,""zh"",""vi"")"),"khi")</f>
        <v>khi</v>
      </c>
      <c r="H191" s="9" t="s">
        <v>34</v>
      </c>
      <c r="I191" s="6"/>
    </row>
    <row r="192" spans="1:9">
      <c r="A192" s="4">
        <v>191</v>
      </c>
      <c r="B192" s="14">
        <v>15</v>
      </c>
      <c r="C192" s="6" t="s">
        <v>10</v>
      </c>
      <c r="D192" s="12" t="s">
        <v>474</v>
      </c>
      <c r="E192" s="6" t="s">
        <v>23</v>
      </c>
      <c r="F192" s="12" t="s">
        <v>475</v>
      </c>
      <c r="G192" s="8" t="str">
        <f ca="1">IFERROR(__xludf.DUMMYFUNCTION("GOOGLETRANSLATE(D192,""zh"",""vi"")"),"thời gian")</f>
        <v>thời gian</v>
      </c>
      <c r="H192" s="9" t="s">
        <v>34</v>
      </c>
      <c r="I192" s="6"/>
    </row>
    <row r="193" spans="1:9">
      <c r="A193" s="4">
        <v>192</v>
      </c>
      <c r="B193" s="14">
        <v>7</v>
      </c>
      <c r="C193" s="6" t="s">
        <v>25</v>
      </c>
      <c r="D193" s="12" t="s">
        <v>476</v>
      </c>
      <c r="E193" s="6" t="s">
        <v>23</v>
      </c>
      <c r="F193" s="12" t="s">
        <v>477</v>
      </c>
      <c r="G193" s="8" t="str">
        <f ca="1">IFERROR(__xludf.DUMMYFUNCTION("GOOGLETRANSLATE(D193,""zh"",""vi"")"),"điều")</f>
        <v>điều</v>
      </c>
      <c r="H193" s="9" t="s">
        <v>48</v>
      </c>
      <c r="I193" s="6"/>
    </row>
    <row r="194" spans="1:9">
      <c r="A194" s="4">
        <v>193</v>
      </c>
      <c r="B194" s="14">
        <v>2</v>
      </c>
      <c r="C194" s="6" t="s">
        <v>76</v>
      </c>
      <c r="D194" s="12" t="s">
        <v>478</v>
      </c>
      <c r="E194" s="6" t="s">
        <v>12</v>
      </c>
      <c r="F194" s="12" t="s">
        <v>477</v>
      </c>
      <c r="G194" s="8" t="str">
        <f ca="1">IFERROR(__xludf.DUMMYFUNCTION("GOOGLETRANSLATE(D194,""zh"",""vi"")"),"Đúng")</f>
        <v>Đúng</v>
      </c>
      <c r="H194" s="9" t="s">
        <v>30</v>
      </c>
      <c r="I194" s="6"/>
    </row>
    <row r="195" spans="1:9">
      <c r="A195" s="4">
        <v>194</v>
      </c>
      <c r="B195" s="14">
        <v>6</v>
      </c>
      <c r="C195" s="6" t="s">
        <v>39</v>
      </c>
      <c r="D195" s="12" t="s">
        <v>479</v>
      </c>
      <c r="E195" s="6" t="s">
        <v>23</v>
      </c>
      <c r="F195" s="12" t="s">
        <v>480</v>
      </c>
      <c r="G195" s="8" t="str">
        <f ca="1">IFERROR(__xludf.DUMMYFUNCTION("GOOGLETRANSLATE(D195,""zh"",""vi"")"),"điện thoại di động")</f>
        <v>điện thoại di động</v>
      </c>
      <c r="H195" s="9" t="s">
        <v>48</v>
      </c>
      <c r="I195" s="6"/>
    </row>
    <row r="196" spans="1:9">
      <c r="A196" s="4">
        <v>195</v>
      </c>
      <c r="B196" s="14">
        <v>10</v>
      </c>
      <c r="C196" s="6" t="s">
        <v>49</v>
      </c>
      <c r="D196" s="12" t="s">
        <v>481</v>
      </c>
      <c r="E196" s="6" t="s">
        <v>23</v>
      </c>
      <c r="F196" s="12" t="s">
        <v>482</v>
      </c>
      <c r="G196" s="8" t="str">
        <f ca="1">IFERROR(__xludf.DUMMYFUNCTION("GOOGLETRANSLATE(D196,""zh"",""vi"")"),"Nhân viên bán hàng")</f>
        <v>Nhân viên bán hàng</v>
      </c>
      <c r="H196" s="9" t="s">
        <v>115</v>
      </c>
      <c r="I196" s="6"/>
    </row>
    <row r="197" spans="1:9">
      <c r="A197" s="4">
        <v>196</v>
      </c>
      <c r="B197" s="14">
        <v>9</v>
      </c>
      <c r="C197" s="6" t="s">
        <v>31</v>
      </c>
      <c r="D197" s="12" t="s">
        <v>483</v>
      </c>
      <c r="E197" s="6" t="s">
        <v>23</v>
      </c>
      <c r="F197" s="12" t="s">
        <v>484</v>
      </c>
      <c r="G197" s="8" t="str">
        <f ca="1">IFERROR(__xludf.DUMMYFUNCTION("GOOGLETRANSLATE(D197,""zh"",""vi"")"),"Sách")</f>
        <v>Sách</v>
      </c>
      <c r="H197" s="9" t="s">
        <v>48</v>
      </c>
      <c r="I197" s="6"/>
    </row>
    <row r="198" spans="1:9">
      <c r="A198" s="4">
        <v>197</v>
      </c>
      <c r="B198" s="14">
        <v>8</v>
      </c>
      <c r="C198" s="13" t="s">
        <v>31</v>
      </c>
      <c r="D198" s="12" t="s">
        <v>485</v>
      </c>
      <c r="E198" s="6" t="s">
        <v>23</v>
      </c>
      <c r="F198" s="12" t="s">
        <v>486</v>
      </c>
      <c r="G198" s="8" t="str">
        <f ca="1">IFERROR(__xludf.DUMMYFUNCTION("GOOGLETRANSLATE(D198,""zh"",""vi"")"),"hiệu sách")</f>
        <v>hiệu sách</v>
      </c>
      <c r="H198" s="9" t="s">
        <v>90</v>
      </c>
      <c r="I198" s="6"/>
    </row>
    <row r="199" spans="1:9">
      <c r="A199" s="4">
        <v>198</v>
      </c>
      <c r="B199" s="14">
        <v>12</v>
      </c>
      <c r="C199" s="6" t="s">
        <v>61</v>
      </c>
      <c r="D199" s="12" t="s">
        <v>487</v>
      </c>
      <c r="E199" s="6" t="s">
        <v>23</v>
      </c>
      <c r="F199" s="12" t="s">
        <v>488</v>
      </c>
      <c r="G199" s="8" t="str">
        <f ca="1">IFERROR(__xludf.DUMMYFUNCTION("GOOGLETRANSLATE(D199,""zh"",""vi"")"),"Nước")</f>
        <v>Nước</v>
      </c>
      <c r="H199" s="9" t="s">
        <v>203</v>
      </c>
      <c r="I199" s="6"/>
    </row>
    <row r="200" spans="1:9">
      <c r="A200" s="4">
        <v>199</v>
      </c>
      <c r="B200" s="14">
        <v>10</v>
      </c>
      <c r="C200" s="6" t="s">
        <v>49</v>
      </c>
      <c r="D200" s="12" t="s">
        <v>489</v>
      </c>
      <c r="E200" s="6" t="s">
        <v>23</v>
      </c>
      <c r="F200" s="12" t="s">
        <v>490</v>
      </c>
      <c r="G200" s="8" t="str">
        <f ca="1">IFERROR(__xludf.DUMMYFUNCTION("GOOGLETRANSLATE(D200,""zh"",""vi"")"),"hoa quả")</f>
        <v>hoa quả</v>
      </c>
      <c r="H200" s="9" t="s">
        <v>42</v>
      </c>
      <c r="I200" s="6"/>
    </row>
    <row r="201" spans="1:9">
      <c r="A201" s="4">
        <v>200</v>
      </c>
      <c r="B201" s="14">
        <v>11</v>
      </c>
      <c r="C201" s="6" t="s">
        <v>91</v>
      </c>
      <c r="D201" s="12" t="s">
        <v>491</v>
      </c>
      <c r="E201" s="6" t="s">
        <v>12</v>
      </c>
      <c r="F201" s="12" t="s">
        <v>492</v>
      </c>
      <c r="G201" s="8" t="str">
        <f ca="1">IFERROR(__xludf.DUMMYFUNCTION("GOOGLETRANSLATE(D201,""zh"",""vi"")"),"ngủ")</f>
        <v>ngủ</v>
      </c>
      <c r="H201" s="9" t="s">
        <v>87</v>
      </c>
      <c r="I201" s="6"/>
    </row>
    <row r="202" spans="1:9">
      <c r="A202" s="4">
        <v>201</v>
      </c>
      <c r="B202" s="14">
        <v>11</v>
      </c>
      <c r="C202" s="6" t="s">
        <v>91</v>
      </c>
      <c r="D202" s="12" t="s">
        <v>493</v>
      </c>
      <c r="E202" s="6" t="s">
        <v>12</v>
      </c>
      <c r="F202" s="12" t="s">
        <v>494</v>
      </c>
      <c r="G202" s="8" t="str">
        <f ca="1">IFERROR(__xludf.DUMMYFUNCTION("GOOGLETRANSLATE(D202,""zh"",""vi"")"),"ngủ")</f>
        <v>ngủ</v>
      </c>
      <c r="H202" s="9" t="s">
        <v>87</v>
      </c>
      <c r="I202" s="6"/>
    </row>
    <row r="203" spans="1:9">
      <c r="A203" s="4">
        <v>202</v>
      </c>
      <c r="B203" s="14">
        <v>11</v>
      </c>
      <c r="C203" s="6" t="s">
        <v>91</v>
      </c>
      <c r="D203" s="12" t="s">
        <v>495</v>
      </c>
      <c r="E203" s="6" t="s">
        <v>12</v>
      </c>
      <c r="F203" s="12" t="s">
        <v>496</v>
      </c>
      <c r="G203" s="8" t="s">
        <v>497</v>
      </c>
      <c r="H203" s="9" t="s">
        <v>150</v>
      </c>
      <c r="I203" s="6"/>
    </row>
    <row r="204" spans="1:9">
      <c r="A204" s="4">
        <v>203</v>
      </c>
      <c r="B204" s="14">
        <v>14</v>
      </c>
      <c r="C204" s="6" t="s">
        <v>72</v>
      </c>
      <c r="D204" s="12" t="s">
        <v>498</v>
      </c>
      <c r="E204" s="6" t="s">
        <v>12</v>
      </c>
      <c r="F204" s="12" t="s">
        <v>499</v>
      </c>
      <c r="G204" s="8" t="str">
        <f ca="1">IFERROR(__xludf.DUMMYFUNCTION("GOOGLETRANSLATE(D204,""zh"",""vi"")"),"nói")</f>
        <v>nói</v>
      </c>
      <c r="H204" s="9" t="s">
        <v>150</v>
      </c>
      <c r="I204" s="6"/>
    </row>
    <row r="205" spans="1:9">
      <c r="A205" s="4">
        <v>204</v>
      </c>
      <c r="B205" s="14">
        <v>4</v>
      </c>
      <c r="C205" s="6" t="s">
        <v>17</v>
      </c>
      <c r="D205" s="12" t="s">
        <v>500</v>
      </c>
      <c r="E205" s="6" t="s">
        <v>19</v>
      </c>
      <c r="F205" s="12" t="s">
        <v>501</v>
      </c>
      <c r="G205" s="8" t="str">
        <f ca="1">IFERROR(__xludf.DUMMYFUNCTION("GOOGLETRANSLATE(D205,""zh"",""vi"")"),"Bốn")</f>
        <v>Bốn</v>
      </c>
      <c r="H205" s="9" t="s">
        <v>21</v>
      </c>
      <c r="I205" s="6"/>
    </row>
    <row r="206" spans="1:9">
      <c r="A206" s="4">
        <v>205</v>
      </c>
      <c r="B206" s="14">
        <v>4</v>
      </c>
      <c r="C206" s="6" t="s">
        <v>17</v>
      </c>
      <c r="D206" s="12" t="s">
        <v>502</v>
      </c>
      <c r="E206" s="6" t="s">
        <v>54</v>
      </c>
      <c r="F206" s="12" t="s">
        <v>503</v>
      </c>
      <c r="G206" s="8" t="str">
        <f ca="1">IFERROR(__xludf.DUMMYFUNCTION("GOOGLETRANSLATE(D206,""zh"",""vi"")"),"tuổi")</f>
        <v>tuổi</v>
      </c>
      <c r="H206" s="9" t="s">
        <v>21</v>
      </c>
      <c r="I206" s="6"/>
    </row>
    <row r="207" spans="1:9">
      <c r="A207" s="4">
        <v>206</v>
      </c>
      <c r="B207" s="14">
        <v>4</v>
      </c>
      <c r="C207" s="6" t="s">
        <v>17</v>
      </c>
      <c r="D207" s="12" t="s">
        <v>504</v>
      </c>
      <c r="E207" s="6" t="s">
        <v>109</v>
      </c>
      <c r="F207" s="12" t="s">
        <v>505</v>
      </c>
      <c r="G207" s="8" t="str">
        <f ca="1">IFERROR(__xludf.DUMMYFUNCTION("GOOGLETRANSLATE(D207,""zh"",""vi"")"),"Anh ta")</f>
        <v>Anh ta</v>
      </c>
      <c r="H207" s="9" t="s">
        <v>7</v>
      </c>
      <c r="I207" s="6"/>
    </row>
    <row r="208" spans="1:9">
      <c r="A208" s="4">
        <v>207</v>
      </c>
      <c r="B208" s="14">
        <v>14</v>
      </c>
      <c r="C208" s="6" t="s">
        <v>72</v>
      </c>
      <c r="D208" s="12" t="s">
        <v>506</v>
      </c>
      <c r="E208" s="6" t="s">
        <v>109</v>
      </c>
      <c r="F208" s="12" t="s">
        <v>507</v>
      </c>
      <c r="G208" s="8" t="str">
        <f ca="1">IFERROR(__xludf.DUMMYFUNCTION("GOOGLETRANSLATE(D208,""zh"",""vi"")"),"họ")</f>
        <v>họ</v>
      </c>
      <c r="H208" s="9" t="s">
        <v>7</v>
      </c>
      <c r="I208" s="6"/>
    </row>
    <row r="209" spans="1:9">
      <c r="A209" s="4">
        <v>208</v>
      </c>
      <c r="B209" s="14">
        <v>5</v>
      </c>
      <c r="C209" s="6" t="s">
        <v>132</v>
      </c>
      <c r="D209" s="12" t="s">
        <v>508</v>
      </c>
      <c r="E209" s="6" t="s">
        <v>109</v>
      </c>
      <c r="F209" s="12" t="s">
        <v>505</v>
      </c>
      <c r="G209" s="8" t="str">
        <f ca="1">IFERROR(__xludf.DUMMYFUNCTION("GOOGLETRANSLATE(D209,""zh"",""vi"")"),"Nó")</f>
        <v>Nó</v>
      </c>
      <c r="H209" s="9" t="s">
        <v>7</v>
      </c>
      <c r="I209" s="6"/>
    </row>
    <row r="210" spans="1:9">
      <c r="A210" s="4">
        <v>209</v>
      </c>
      <c r="B210" s="14"/>
      <c r="C210" s="6"/>
      <c r="D210" s="12" t="s">
        <v>509</v>
      </c>
      <c r="E210" s="6" t="s">
        <v>109</v>
      </c>
      <c r="F210" s="12" t="s">
        <v>507</v>
      </c>
      <c r="G210" s="8" t="str">
        <f ca="1">IFERROR(__xludf.DUMMYFUNCTION("GOOGLETRANSLATE(D210,""zh"",""vi"")"),"họ")</f>
        <v>họ</v>
      </c>
      <c r="H210" s="9" t="s">
        <v>7</v>
      </c>
      <c r="I210" s="6"/>
    </row>
    <row r="211" spans="1:9">
      <c r="A211" s="4">
        <v>210</v>
      </c>
      <c r="B211" s="14">
        <v>14</v>
      </c>
      <c r="C211" s="6" t="s">
        <v>72</v>
      </c>
      <c r="D211" s="12" t="s">
        <v>510</v>
      </c>
      <c r="E211" s="6" t="s">
        <v>109</v>
      </c>
      <c r="F211" s="12" t="s">
        <v>507</v>
      </c>
      <c r="G211" s="8" t="str">
        <f ca="1">IFERROR(__xludf.DUMMYFUNCTION("GOOGLETRANSLATE(D211,""zh"",""vi"")"),"họ")</f>
        <v>họ</v>
      </c>
      <c r="H211" s="9" t="s">
        <v>7</v>
      </c>
      <c r="I211" s="6"/>
    </row>
    <row r="212" spans="1:9">
      <c r="A212" s="4">
        <v>211</v>
      </c>
      <c r="B212" s="14">
        <v>3</v>
      </c>
      <c r="C212" s="6" t="s">
        <v>118</v>
      </c>
      <c r="D212" s="12" t="s">
        <v>511</v>
      </c>
      <c r="E212" s="6" t="s">
        <v>74</v>
      </c>
      <c r="F212" s="12" t="s">
        <v>512</v>
      </c>
      <c r="G212" s="8" t="str">
        <f ca="1">IFERROR(__xludf.DUMMYFUNCTION("GOOGLETRANSLATE(D212,""zh"",""vi"")"),"cũng vậy")</f>
        <v>cũng vậy</v>
      </c>
      <c r="H212" s="9" t="s">
        <v>30</v>
      </c>
      <c r="I212" s="6"/>
    </row>
    <row r="213" spans="1:9">
      <c r="A213" s="4">
        <v>212</v>
      </c>
      <c r="B213" s="14">
        <v>12</v>
      </c>
      <c r="C213" s="6" t="s">
        <v>61</v>
      </c>
      <c r="D213" s="12" t="s">
        <v>513</v>
      </c>
      <c r="E213" s="6" t="s">
        <v>253</v>
      </c>
      <c r="F213" s="12" t="s">
        <v>514</v>
      </c>
      <c r="G213" s="8" t="s">
        <v>515</v>
      </c>
      <c r="H213" s="9" t="s">
        <v>203</v>
      </c>
      <c r="I213" s="6"/>
    </row>
    <row r="214" spans="1:9">
      <c r="A214" s="4">
        <v>213</v>
      </c>
      <c r="B214" s="14">
        <v>12</v>
      </c>
      <c r="C214" s="6" t="s">
        <v>61</v>
      </c>
      <c r="D214" s="12" t="s">
        <v>516</v>
      </c>
      <c r="E214" s="6" t="s">
        <v>23</v>
      </c>
      <c r="F214" s="12" t="s">
        <v>517</v>
      </c>
      <c r="G214" s="8" t="str">
        <f ca="1">IFERROR(__xludf.DUMMYFUNCTION("GOOGLETRANSLATE(D214,""zh"",""vi"")"),"thời tiết")</f>
        <v>thời tiết</v>
      </c>
      <c r="H214" s="9" t="s">
        <v>203</v>
      </c>
      <c r="I214" s="6"/>
    </row>
    <row r="215" spans="1:9">
      <c r="A215" s="4">
        <v>214</v>
      </c>
      <c r="B215" s="14">
        <v>14</v>
      </c>
      <c r="C215" s="6" t="s">
        <v>72</v>
      </c>
      <c r="D215" s="12" t="s">
        <v>518</v>
      </c>
      <c r="E215" s="6" t="s">
        <v>12</v>
      </c>
      <c r="F215" s="12" t="s">
        <v>519</v>
      </c>
      <c r="G215" s="8" t="str">
        <f ca="1">IFERROR(__xludf.DUMMYFUNCTION("GOOGLETRANSLATE(D215,""zh"",""vi"")"),"Nghe")</f>
        <v>Nghe</v>
      </c>
      <c r="H215" s="9" t="s">
        <v>150</v>
      </c>
      <c r="I215" s="6"/>
    </row>
    <row r="216" spans="1:9">
      <c r="A216" s="4">
        <v>215</v>
      </c>
      <c r="B216" s="14">
        <v>14</v>
      </c>
      <c r="C216" s="6" t="s">
        <v>72</v>
      </c>
      <c r="D216" s="12" t="s">
        <v>520</v>
      </c>
      <c r="E216" s="6" t="s">
        <v>12</v>
      </c>
      <c r="F216" s="12" t="s">
        <v>521</v>
      </c>
      <c r="G216" s="8" t="str">
        <f ca="1">IFERROR(__xludf.DUMMYFUNCTION("GOOGLETRANSLATE(D216,""zh"",""vi"")"),"nghe")</f>
        <v>nghe</v>
      </c>
      <c r="H216" s="9" t="s">
        <v>150</v>
      </c>
      <c r="I216" s="6"/>
    </row>
    <row r="217" spans="1:9">
      <c r="A217" s="4">
        <v>216</v>
      </c>
      <c r="B217" s="5">
        <v>1</v>
      </c>
      <c r="C217" s="6" t="s">
        <v>69</v>
      </c>
      <c r="D217" s="12" t="s">
        <v>522</v>
      </c>
      <c r="E217" s="6" t="s">
        <v>23</v>
      </c>
      <c r="F217" s="12" t="s">
        <v>523</v>
      </c>
      <c r="G217" s="8" t="str">
        <f ca="1">IFERROR(__xludf.DUMMYFUNCTION("GOOGLETRANSLATE(D217,""zh"",""vi"")"),"bạn cùng lớp")</f>
        <v>bạn cùng lớp</v>
      </c>
      <c r="H217" s="9" t="s">
        <v>7</v>
      </c>
      <c r="I217" s="6"/>
    </row>
    <row r="218" spans="1:9">
      <c r="A218" s="4">
        <v>217</v>
      </c>
      <c r="B218" s="14">
        <v>8</v>
      </c>
      <c r="C218" s="13" t="s">
        <v>31</v>
      </c>
      <c r="D218" s="12" t="s">
        <v>524</v>
      </c>
      <c r="E218" s="6" t="s">
        <v>23</v>
      </c>
      <c r="F218" s="12" t="s">
        <v>525</v>
      </c>
      <c r="G218" s="8" t="str">
        <f ca="1">IFERROR(__xludf.DUMMYFUNCTION("GOOGLETRANSLATE(D218,""zh"",""vi"")"),"ngoài")</f>
        <v>ngoài</v>
      </c>
      <c r="H218" s="9" t="s">
        <v>60</v>
      </c>
      <c r="I218" s="6"/>
    </row>
    <row r="219" spans="1:9">
      <c r="A219" s="4">
        <v>218</v>
      </c>
      <c r="B219" s="14">
        <v>9</v>
      </c>
      <c r="C219" s="6" t="s">
        <v>31</v>
      </c>
      <c r="D219" s="12" t="s">
        <v>526</v>
      </c>
      <c r="E219" s="6" t="s">
        <v>23</v>
      </c>
      <c r="F219" s="12" t="s">
        <v>527</v>
      </c>
      <c r="G219" s="8" t="str">
        <f ca="1">IFERROR(__xludf.DUMMYFUNCTION("GOOGLETRANSLATE(D219,""zh"",""vi"")"),"ngoài")</f>
        <v>ngoài</v>
      </c>
      <c r="H219" s="9" t="s">
        <v>528</v>
      </c>
      <c r="I219" s="6"/>
    </row>
    <row r="220" spans="1:9">
      <c r="A220" s="4">
        <v>219</v>
      </c>
      <c r="B220" s="14">
        <v>9</v>
      </c>
      <c r="C220" s="6" t="s">
        <v>31</v>
      </c>
      <c r="D220" s="12" t="s">
        <v>529</v>
      </c>
      <c r="E220" s="6" t="s">
        <v>12</v>
      </c>
      <c r="F220" s="12" t="s">
        <v>530</v>
      </c>
      <c r="G220" s="8" t="str">
        <f ca="1">IFERROR(__xludf.DUMMYFUNCTION("GOOGLETRANSLATE(D220,""zh"",""vi"")"),"Chơi")</f>
        <v>Chơi</v>
      </c>
      <c r="H220" s="9" t="s">
        <v>87</v>
      </c>
      <c r="I220" s="6"/>
    </row>
    <row r="221" spans="1:9">
      <c r="A221" s="4">
        <v>220</v>
      </c>
      <c r="B221" s="14">
        <v>14</v>
      </c>
      <c r="C221" s="6" t="s">
        <v>72</v>
      </c>
      <c r="D221" s="12" t="s">
        <v>531</v>
      </c>
      <c r="E221" s="6" t="s">
        <v>105</v>
      </c>
      <c r="F221" s="12" t="s">
        <v>532</v>
      </c>
      <c r="G221" s="8" t="str">
        <f ca="1">IFERROR(__xludf.DUMMYFUNCTION("GOOGLETRANSLATE(D221,""zh"",""vi"")"),"Đêm")</f>
        <v>Đêm</v>
      </c>
      <c r="H221" s="9" t="s">
        <v>34</v>
      </c>
      <c r="I221" s="6"/>
    </row>
    <row r="222" spans="1:9">
      <c r="A222" s="4">
        <v>221</v>
      </c>
      <c r="B222" s="14">
        <v>6</v>
      </c>
      <c r="C222" s="6" t="s">
        <v>39</v>
      </c>
      <c r="D222" s="12" t="s">
        <v>533</v>
      </c>
      <c r="E222" s="6" t="s">
        <v>23</v>
      </c>
      <c r="F222" s="12" t="s">
        <v>534</v>
      </c>
      <c r="G222" s="8" t="str">
        <f ca="1">IFERROR(__xludf.DUMMYFUNCTION("GOOGLETRANSLATE(D222,""zh"",""vi"")"),"bữa tối")</f>
        <v>bữa tối</v>
      </c>
      <c r="H222" s="9" t="s">
        <v>42</v>
      </c>
      <c r="I222" s="6"/>
    </row>
    <row r="223" spans="1:9">
      <c r="A223" s="4">
        <v>222</v>
      </c>
      <c r="B223" s="14">
        <v>7</v>
      </c>
      <c r="C223" s="6" t="s">
        <v>25</v>
      </c>
      <c r="D223" s="12" t="s">
        <v>535</v>
      </c>
      <c r="E223" s="6" t="s">
        <v>23</v>
      </c>
      <c r="F223" s="12" t="s">
        <v>536</v>
      </c>
      <c r="G223" s="8" t="str">
        <f ca="1">IFERROR(__xludf.DUMMYFUNCTION("GOOGLETRANSLATE(D223,""zh"",""vi"")"),"đêm")</f>
        <v>đêm</v>
      </c>
      <c r="H223" s="9" t="s">
        <v>34</v>
      </c>
      <c r="I223" s="6"/>
    </row>
    <row r="224" spans="1:9">
      <c r="A224" s="4">
        <v>223</v>
      </c>
      <c r="B224" s="14">
        <v>3</v>
      </c>
      <c r="C224" s="6" t="s">
        <v>118</v>
      </c>
      <c r="D224" s="12" t="s">
        <v>537</v>
      </c>
      <c r="E224" s="6" t="s">
        <v>538</v>
      </c>
      <c r="F224" s="12" t="s">
        <v>539</v>
      </c>
      <c r="G224" s="8" t="str">
        <f ca="1">IFERROR(__xludf.DUMMYFUNCTION("GOOGLETRANSLATE(D224,""zh"",""vi"")"),"Xin chào")</f>
        <v>Xin chào</v>
      </c>
      <c r="H224" s="9" t="s">
        <v>30</v>
      </c>
      <c r="I224" s="6"/>
    </row>
    <row r="225" spans="1:9">
      <c r="A225" s="4">
        <v>224</v>
      </c>
      <c r="B225" s="14">
        <v>11</v>
      </c>
      <c r="C225" s="6" t="s">
        <v>91</v>
      </c>
      <c r="D225" s="12" t="s">
        <v>540</v>
      </c>
      <c r="E225" s="6" t="s">
        <v>12</v>
      </c>
      <c r="F225" s="12" t="s">
        <v>541</v>
      </c>
      <c r="G225" s="8" t="str">
        <f ca="1">IFERROR(__xludf.DUMMYFUNCTION("GOOGLETRANSLATE(D225,""zh"",""vi"")"),"hỏi")</f>
        <v>hỏi</v>
      </c>
      <c r="H225" s="9" t="s">
        <v>150</v>
      </c>
      <c r="I225" s="6"/>
    </row>
    <row r="226" spans="1:9">
      <c r="A226" s="4">
        <v>225</v>
      </c>
      <c r="B226" s="14">
        <v>13</v>
      </c>
      <c r="C226" s="6" t="s">
        <v>43</v>
      </c>
      <c r="D226" s="12" t="s">
        <v>542</v>
      </c>
      <c r="E226" s="6" t="s">
        <v>23</v>
      </c>
      <c r="F226" s="12" t="s">
        <v>543</v>
      </c>
      <c r="G226" s="8" t="str">
        <f ca="1">IFERROR(__xludf.DUMMYFUNCTION("GOOGLETRANSLATE(D226,""zh"",""vi"")"),"câu hỏi")</f>
        <v>câu hỏi</v>
      </c>
      <c r="H226" s="9" t="s">
        <v>150</v>
      </c>
      <c r="I226" s="6"/>
    </row>
    <row r="227" spans="1:9">
      <c r="A227" s="4">
        <v>226</v>
      </c>
      <c r="B227" s="14">
        <v>2</v>
      </c>
      <c r="C227" s="6" t="s">
        <v>76</v>
      </c>
      <c r="D227" s="12" t="s">
        <v>544</v>
      </c>
      <c r="E227" s="6" t="s">
        <v>109</v>
      </c>
      <c r="F227" s="12" t="s">
        <v>545</v>
      </c>
      <c r="G227" s="8" t="str">
        <f ca="1">IFERROR(__xludf.DUMMYFUNCTION("GOOGLETRANSLATE(D227,""zh"",""vi"")"),"TÔI")</f>
        <v>TÔI</v>
      </c>
      <c r="H227" s="9" t="s">
        <v>7</v>
      </c>
      <c r="I227" s="6"/>
    </row>
    <row r="228" spans="1:9">
      <c r="A228" s="4">
        <v>227</v>
      </c>
      <c r="B228" s="14">
        <v>3</v>
      </c>
      <c r="C228" s="6" t="s">
        <v>118</v>
      </c>
      <c r="D228" s="12" t="s">
        <v>546</v>
      </c>
      <c r="E228" s="6" t="s">
        <v>109</v>
      </c>
      <c r="F228" s="12" t="s">
        <v>547</v>
      </c>
      <c r="G228" s="8" t="str">
        <f ca="1">IFERROR(__xludf.DUMMYFUNCTION("GOOGLETRANSLATE(D228,""zh"",""vi"")"),"chúng ta")</f>
        <v>chúng ta</v>
      </c>
      <c r="H228" s="9" t="s">
        <v>7</v>
      </c>
      <c r="I228" s="6"/>
    </row>
    <row r="229" spans="1:9">
      <c r="A229" s="4">
        <v>228</v>
      </c>
      <c r="B229" s="14">
        <v>4</v>
      </c>
      <c r="C229" s="6" t="s">
        <v>17</v>
      </c>
      <c r="D229" s="12" t="s">
        <v>548</v>
      </c>
      <c r="E229" s="6" t="s">
        <v>19</v>
      </c>
      <c r="F229" s="12" t="s">
        <v>549</v>
      </c>
      <c r="G229" s="8" t="str">
        <f ca="1">IFERROR(__xludf.DUMMYFUNCTION("GOOGLETRANSLATE(D229,""zh"",""vi"")"),"năm")</f>
        <v>năm</v>
      </c>
      <c r="H229" s="9" t="s">
        <v>21</v>
      </c>
      <c r="I229" s="6"/>
    </row>
    <row r="230" spans="1:9">
      <c r="A230" s="4">
        <v>229</v>
      </c>
      <c r="B230" s="14">
        <v>8</v>
      </c>
      <c r="C230" s="13" t="s">
        <v>31</v>
      </c>
      <c r="D230" s="12" t="s">
        <v>550</v>
      </c>
      <c r="E230" s="6" t="s">
        <v>23</v>
      </c>
      <c r="F230" s="12" t="s">
        <v>551</v>
      </c>
      <c r="G230" s="8" t="str">
        <f ca="1">IFERROR(__xludf.DUMMYFUNCTION("GOOGLETRANSLATE(D230,""zh"",""vi"")"),"bữa trưa")</f>
        <v>bữa trưa</v>
      </c>
      <c r="H230" s="9" t="s">
        <v>42</v>
      </c>
      <c r="I230" s="6"/>
    </row>
    <row r="231" spans="1:9">
      <c r="A231" s="4">
        <v>230</v>
      </c>
      <c r="B231" s="14">
        <v>5</v>
      </c>
      <c r="C231" s="6" t="s">
        <v>132</v>
      </c>
      <c r="D231" s="12" t="s">
        <v>552</v>
      </c>
      <c r="E231" s="6" t="s">
        <v>12</v>
      </c>
      <c r="F231" s="12" t="s">
        <v>553</v>
      </c>
      <c r="G231" s="8" t="s">
        <v>554</v>
      </c>
      <c r="H231" s="9" t="s">
        <v>15</v>
      </c>
      <c r="I231" s="6"/>
    </row>
    <row r="232" spans="1:9">
      <c r="A232" s="4">
        <v>231</v>
      </c>
      <c r="B232" s="14">
        <v>8.1199999999999992</v>
      </c>
      <c r="C232" s="6" t="s">
        <v>555</v>
      </c>
      <c r="D232" s="12" t="s">
        <v>556</v>
      </c>
      <c r="E232" s="6" t="s">
        <v>451</v>
      </c>
      <c r="F232" s="12" t="s">
        <v>557</v>
      </c>
      <c r="G232" s="8" t="s">
        <v>558</v>
      </c>
      <c r="H232" s="9" t="s">
        <v>60</v>
      </c>
      <c r="I232" s="6"/>
    </row>
    <row r="233" spans="1:9">
      <c r="A233" s="4">
        <v>232</v>
      </c>
      <c r="B233" s="14">
        <v>5</v>
      </c>
      <c r="C233" s="6" t="s">
        <v>132</v>
      </c>
      <c r="D233" s="12" t="s">
        <v>559</v>
      </c>
      <c r="E233" s="6" t="s">
        <v>12</v>
      </c>
      <c r="F233" s="12" t="s">
        <v>560</v>
      </c>
      <c r="G233" s="8" t="str">
        <f ca="1">IFERROR(__xludf.DUMMYFUNCTION("GOOGLETRANSLATE(D233,""zh"",""vi"")"),"tan ca làm việc")</f>
        <v>tan ca làm việc</v>
      </c>
      <c r="H233" s="9" t="s">
        <v>115</v>
      </c>
      <c r="I233" s="6"/>
    </row>
    <row r="234" spans="1:9">
      <c r="A234" s="4">
        <v>233</v>
      </c>
      <c r="B234" s="14">
        <v>7</v>
      </c>
      <c r="C234" s="6" t="s">
        <v>25</v>
      </c>
      <c r="D234" s="12" t="s">
        <v>561</v>
      </c>
      <c r="E234" s="6" t="s">
        <v>12</v>
      </c>
      <c r="F234" s="12" t="s">
        <v>562</v>
      </c>
      <c r="G234" s="8" t="str">
        <f ca="1">IFERROR(__xludf.DUMMYFUNCTION("GOOGLETRANSLATE(D234,""zh"",""vi"")"),"Ra khỏi lớp học xong")</f>
        <v>Ra khỏi lớp học xong</v>
      </c>
      <c r="H234" s="9" t="s">
        <v>115</v>
      </c>
      <c r="I234" s="6"/>
    </row>
    <row r="235" spans="1:9">
      <c r="A235" s="4">
        <v>234</v>
      </c>
      <c r="B235" s="14">
        <v>7</v>
      </c>
      <c r="C235" s="6" t="s">
        <v>25</v>
      </c>
      <c r="D235" s="12" t="s">
        <v>563</v>
      </c>
      <c r="E235" s="6" t="s">
        <v>23</v>
      </c>
      <c r="F235" s="12" t="s">
        <v>564</v>
      </c>
      <c r="G235" s="8" t="str">
        <f ca="1">IFERROR(__xludf.DUMMYFUNCTION("GOOGLETRANSLATE(D235,""zh"",""vi"")"),"buổi chiều")</f>
        <v>buổi chiều</v>
      </c>
      <c r="H235" s="9" t="s">
        <v>34</v>
      </c>
      <c r="I235" s="6"/>
    </row>
    <row r="236" spans="1:9">
      <c r="A236" s="4">
        <v>235</v>
      </c>
      <c r="B236" s="14">
        <v>12</v>
      </c>
      <c r="C236" s="6" t="s">
        <v>61</v>
      </c>
      <c r="D236" s="12" t="s">
        <v>565</v>
      </c>
      <c r="E236" s="6"/>
      <c r="F236" s="12" t="s">
        <v>566</v>
      </c>
      <c r="G236" s="8" t="s">
        <v>567</v>
      </c>
      <c r="H236" s="9" t="s">
        <v>203</v>
      </c>
      <c r="I236" s="6"/>
    </row>
    <row r="237" spans="1:9">
      <c r="A237" s="4">
        <v>236</v>
      </c>
      <c r="B237" s="14">
        <v>13</v>
      </c>
      <c r="C237" s="6" t="s">
        <v>43</v>
      </c>
      <c r="D237" s="12" t="s">
        <v>568</v>
      </c>
      <c r="E237" s="6" t="s">
        <v>23</v>
      </c>
      <c r="F237" s="12" t="s">
        <v>569</v>
      </c>
      <c r="G237" s="8" t="str">
        <f ca="1">IFERROR(__xludf.DUMMYFUNCTION("GOOGLETRANSLATE(D237,""zh"",""vi"")"),"thưa quý ông")</f>
        <v>thưa quý ông</v>
      </c>
      <c r="H237" s="9" t="s">
        <v>7</v>
      </c>
      <c r="I237" s="6"/>
    </row>
    <row r="238" spans="1:9">
      <c r="A238" s="4">
        <v>237</v>
      </c>
      <c r="B238" s="14">
        <v>7</v>
      </c>
      <c r="C238" s="6" t="s">
        <v>25</v>
      </c>
      <c r="D238" s="12" t="s">
        <v>570</v>
      </c>
      <c r="E238" s="6" t="s">
        <v>23</v>
      </c>
      <c r="F238" s="12" t="s">
        <v>571</v>
      </c>
      <c r="G238" s="8" t="str">
        <f ca="1">IFERROR(__xludf.DUMMYFUNCTION("GOOGLETRANSLATE(D238,""zh"",""vi"")"),"Hiện nay")</f>
        <v>Hiện nay</v>
      </c>
      <c r="H238" s="9" t="s">
        <v>34</v>
      </c>
      <c r="I238" s="6"/>
    </row>
    <row r="239" spans="1:9">
      <c r="A239" s="4">
        <v>238</v>
      </c>
      <c r="B239" s="14">
        <v>3.6</v>
      </c>
      <c r="C239" s="6" t="s">
        <v>572</v>
      </c>
      <c r="D239" s="12" t="s">
        <v>573</v>
      </c>
      <c r="E239" s="6" t="s">
        <v>238</v>
      </c>
      <c r="F239" s="12" t="s">
        <v>574</v>
      </c>
      <c r="G239" s="8" t="str">
        <f ca="1">IFERROR(__xludf.DUMMYFUNCTION("GOOGLETRANSLATE(D239,""zh"",""vi"")"),"nghĩ")</f>
        <v>nghĩ</v>
      </c>
      <c r="H239" s="9" t="s">
        <v>150</v>
      </c>
      <c r="I239" s="6"/>
    </row>
    <row r="240" spans="1:9">
      <c r="A240" s="4">
        <v>239</v>
      </c>
      <c r="B240" s="14">
        <v>8</v>
      </c>
      <c r="C240" s="6" t="s">
        <v>31</v>
      </c>
      <c r="D240" s="12" t="s">
        <v>575</v>
      </c>
      <c r="E240" s="6" t="s">
        <v>105</v>
      </c>
      <c r="F240" s="12" t="s">
        <v>576</v>
      </c>
      <c r="G240" s="8" t="str">
        <f ca="1">IFERROR(__xludf.DUMMYFUNCTION("GOOGLETRANSLATE(D240,""zh"",""vi"")"),"Bé nhỏ")</f>
        <v>Bé nhỏ</v>
      </c>
      <c r="H240" s="9" t="s">
        <v>107</v>
      </c>
      <c r="I240" s="6"/>
    </row>
    <row r="241" spans="1:9">
      <c r="A241" s="4">
        <v>240</v>
      </c>
      <c r="B241" s="14">
        <v>11</v>
      </c>
      <c r="C241" s="6" t="s">
        <v>91</v>
      </c>
      <c r="D241" s="12" t="s">
        <v>577</v>
      </c>
      <c r="E241" s="6" t="s">
        <v>23</v>
      </c>
      <c r="F241" s="12" t="s">
        <v>578</v>
      </c>
      <c r="G241" s="8" t="str">
        <f ca="1">IFERROR(__xludf.DUMMYFUNCTION("GOOGLETRANSLATE(D241,""zh"",""vi"")"),"đứa trẻ")</f>
        <v>đứa trẻ</v>
      </c>
      <c r="H241" s="9" t="s">
        <v>579</v>
      </c>
      <c r="I241" s="6"/>
    </row>
    <row r="242" spans="1:9">
      <c r="A242" s="4">
        <v>241</v>
      </c>
      <c r="B242" s="14">
        <v>15</v>
      </c>
      <c r="C242" s="6" t="s">
        <v>10</v>
      </c>
      <c r="D242" s="12" t="s">
        <v>580</v>
      </c>
      <c r="E242" s="6" t="s">
        <v>23</v>
      </c>
      <c r="F242" s="12" t="s">
        <v>581</v>
      </c>
      <c r="G242" s="8" t="str">
        <f ca="1">IFERROR(__xludf.DUMMYFUNCTION("GOOGLETRANSLATE(D242,""zh"",""vi"")"),"Giờ")</f>
        <v>Giờ</v>
      </c>
      <c r="H242" s="9" t="s">
        <v>34</v>
      </c>
      <c r="I242" s="6"/>
    </row>
    <row r="243" spans="1:9">
      <c r="A243" s="4">
        <v>242</v>
      </c>
      <c r="B243" s="14">
        <v>14</v>
      </c>
      <c r="C243" s="6" t="s">
        <v>72</v>
      </c>
      <c r="D243" s="12" t="s">
        <v>582</v>
      </c>
      <c r="E243" s="6" t="s">
        <v>23</v>
      </c>
      <c r="F243" s="12" t="s">
        <v>583</v>
      </c>
      <c r="G243" s="8" t="str">
        <f ca="1">IFERROR(__xludf.DUMMYFUNCTION("GOOGLETRANSLATE(D243,""zh"",""vi"")"),"trường tiểu học")</f>
        <v>trường tiểu học</v>
      </c>
      <c r="H243" s="9" t="s">
        <v>90</v>
      </c>
      <c r="I243" s="6"/>
    </row>
    <row r="244" spans="1:9">
      <c r="A244" s="4">
        <v>243</v>
      </c>
      <c r="B244" s="14">
        <v>14</v>
      </c>
      <c r="C244" s="6" t="s">
        <v>72</v>
      </c>
      <c r="D244" s="12" t="s">
        <v>584</v>
      </c>
      <c r="E244" s="6" t="s">
        <v>23</v>
      </c>
      <c r="F244" s="12" t="s">
        <v>585</v>
      </c>
      <c r="G244" s="8" t="str">
        <f ca="1">IFERROR(__xludf.DUMMYFUNCTION("GOOGLETRANSLATE(D244,""zh"",""vi"")"),"học sinh tiểu học")</f>
        <v>học sinh tiểu học</v>
      </c>
      <c r="H244" s="9" t="s">
        <v>115</v>
      </c>
      <c r="I244" s="6"/>
    </row>
    <row r="245" spans="1:9">
      <c r="A245" s="4">
        <v>244</v>
      </c>
      <c r="B245" s="14">
        <v>6</v>
      </c>
      <c r="C245" s="6" t="s">
        <v>39</v>
      </c>
      <c r="D245" s="12" t="s">
        <v>586</v>
      </c>
      <c r="E245" s="6" t="s">
        <v>54</v>
      </c>
      <c r="F245" s="12" t="s">
        <v>587</v>
      </c>
      <c r="G245" s="8" t="str">
        <f ca="1">IFERROR(__xludf.DUMMYFUNCTION("GOOGLETRANSLATE(D245,""zh"",""vi"")"),"một số")</f>
        <v>một số</v>
      </c>
      <c r="H245" s="9" t="s">
        <v>21</v>
      </c>
      <c r="I245" s="6"/>
    </row>
    <row r="246" spans="1:9">
      <c r="A246" s="4">
        <v>245</v>
      </c>
      <c r="B246" s="14">
        <v>14</v>
      </c>
      <c r="C246" s="6" t="s">
        <v>72</v>
      </c>
      <c r="D246" s="12" t="s">
        <v>588</v>
      </c>
      <c r="E246" s="6" t="s">
        <v>12</v>
      </c>
      <c r="F246" s="12" t="s">
        <v>589</v>
      </c>
      <c r="G246" s="8" t="str">
        <f ca="1">IFERROR(__xludf.DUMMYFUNCTION("GOOGLETRANSLATE(D246,""zh"",""vi"")"),"Viết")</f>
        <v>Viết</v>
      </c>
      <c r="H246" s="9" t="s">
        <v>590</v>
      </c>
      <c r="I246" s="6"/>
    </row>
    <row r="247" spans="1:9">
      <c r="A247" s="4">
        <v>246</v>
      </c>
      <c r="B247" s="5">
        <v>1</v>
      </c>
      <c r="C247" s="6" t="s">
        <v>69</v>
      </c>
      <c r="D247" s="12" t="s">
        <v>591</v>
      </c>
      <c r="E247" s="6" t="s">
        <v>12</v>
      </c>
      <c r="F247" s="12" t="s">
        <v>592</v>
      </c>
      <c r="G247" s="8" t="str">
        <f ca="1">IFERROR(__xludf.DUMMYFUNCTION("GOOGLETRANSLATE(D247,""zh"",""vi"")"),"Cảm ơn")</f>
        <v>Cảm ơn</v>
      </c>
      <c r="H247" s="9" t="s">
        <v>30</v>
      </c>
      <c r="I247" s="6"/>
    </row>
    <row r="248" spans="1:9">
      <c r="A248" s="4">
        <v>247</v>
      </c>
      <c r="B248" s="14">
        <v>5</v>
      </c>
      <c r="C248" s="6" t="s">
        <v>132</v>
      </c>
      <c r="D248" s="12" t="s">
        <v>593</v>
      </c>
      <c r="E248" s="6" t="s">
        <v>105</v>
      </c>
      <c r="F248" s="12" t="s">
        <v>594</v>
      </c>
      <c r="G248" s="8" t="str">
        <f ca="1">IFERROR(__xludf.DUMMYFUNCTION("GOOGLETRANSLATE(D248,""zh"",""vi"")"),"mới")</f>
        <v>mới</v>
      </c>
      <c r="H248" s="9" t="s">
        <v>107</v>
      </c>
      <c r="I248" s="6"/>
    </row>
    <row r="249" spans="1:9">
      <c r="A249" s="4">
        <v>248</v>
      </c>
      <c r="B249" s="14">
        <v>5</v>
      </c>
      <c r="C249" s="6" t="s">
        <v>132</v>
      </c>
      <c r="D249" s="12" t="s">
        <v>595</v>
      </c>
      <c r="E249" s="6" t="s">
        <v>23</v>
      </c>
      <c r="F249" s="12" t="s">
        <v>596</v>
      </c>
      <c r="G249" s="8" t="str">
        <f ca="1">IFERROR(__xludf.DUMMYFUNCTION("GOOGLETRANSLATE(D249,""zh"",""vi"")"),"Tuần")</f>
        <v>Tuần</v>
      </c>
      <c r="H249" s="9" t="s">
        <v>34</v>
      </c>
      <c r="I249" s="6"/>
    </row>
    <row r="250" spans="1:9">
      <c r="A250" s="4">
        <v>249</v>
      </c>
      <c r="B250" s="14">
        <v>5</v>
      </c>
      <c r="C250" s="6" t="s">
        <v>132</v>
      </c>
      <c r="D250" s="12" t="s">
        <v>597</v>
      </c>
      <c r="E250" s="6" t="s">
        <v>23</v>
      </c>
      <c r="F250" s="12" t="s">
        <v>598</v>
      </c>
      <c r="G250" s="8" t="str">
        <f ca="1">IFERROR(__xludf.DUMMYFUNCTION("GOOGLETRANSLATE(D250,""zh"",""vi"")"),"Chủ nhật")</f>
        <v>Chủ nhật</v>
      </c>
      <c r="H250" s="9" t="s">
        <v>34</v>
      </c>
      <c r="I250" s="6"/>
    </row>
    <row r="251" spans="1:9">
      <c r="A251" s="4">
        <v>250</v>
      </c>
      <c r="B251" s="14">
        <v>5</v>
      </c>
      <c r="C251" s="6" t="s">
        <v>132</v>
      </c>
      <c r="D251" s="12" t="s">
        <v>599</v>
      </c>
      <c r="E251" s="6" t="s">
        <v>23</v>
      </c>
      <c r="F251" s="12" t="s">
        <v>600</v>
      </c>
      <c r="G251" s="8" t="str">
        <f ca="1">IFERROR(__xludf.DUMMYFUNCTION("GOOGLETRANSLATE(D251,""zh"",""vi"")"),"Chủ nhật")</f>
        <v>Chủ nhật</v>
      </c>
      <c r="H251" s="9" t="s">
        <v>34</v>
      </c>
      <c r="I251" s="6"/>
    </row>
    <row r="252" spans="1:9">
      <c r="A252" s="4">
        <v>251</v>
      </c>
      <c r="B252" s="14">
        <v>5</v>
      </c>
      <c r="C252" s="6" t="s">
        <v>132</v>
      </c>
      <c r="D252" s="12" t="s">
        <v>601</v>
      </c>
      <c r="E252" s="6" t="s">
        <v>12</v>
      </c>
      <c r="F252" s="12" t="s">
        <v>602</v>
      </c>
      <c r="G252" s="8" t="str">
        <f ca="1">IFERROR(__xludf.DUMMYFUNCTION("GOOGLETRANSLATE(D252,""zh"",""vi"")"),"nghỉ ngơi")</f>
        <v>nghỉ ngơi</v>
      </c>
      <c r="H252" s="9" t="s">
        <v>87</v>
      </c>
      <c r="I252" s="6"/>
    </row>
    <row r="253" spans="1:9">
      <c r="A253" s="4">
        <v>252</v>
      </c>
      <c r="B253" s="14">
        <v>11</v>
      </c>
      <c r="C253" s="6" t="s">
        <v>91</v>
      </c>
      <c r="D253" s="12" t="s">
        <v>603</v>
      </c>
      <c r="E253" s="6" t="s">
        <v>12</v>
      </c>
      <c r="F253" s="12" t="s">
        <v>604</v>
      </c>
      <c r="G253" s="8" t="str">
        <f ca="1">IFERROR(__xludf.DUMMYFUNCTION("GOOGLETRANSLATE(D253,""zh"",""vi"")"),"học")</f>
        <v>học</v>
      </c>
      <c r="H253" s="9" t="s">
        <v>150</v>
      </c>
      <c r="I253" s="6"/>
    </row>
    <row r="254" spans="1:9">
      <c r="A254" s="4">
        <v>253</v>
      </c>
      <c r="B254" s="5">
        <v>1</v>
      </c>
      <c r="C254" s="6" t="s">
        <v>69</v>
      </c>
      <c r="D254" s="12" t="s">
        <v>605</v>
      </c>
      <c r="E254" s="6" t="s">
        <v>23</v>
      </c>
      <c r="F254" s="12" t="s">
        <v>606</v>
      </c>
      <c r="G254" s="8" t="str">
        <f ca="1">IFERROR(__xludf.DUMMYFUNCTION("GOOGLETRANSLATE(D254,""zh"",""vi"")"),"học sinh")</f>
        <v>học sinh</v>
      </c>
      <c r="H254" s="9" t="s">
        <v>115</v>
      </c>
      <c r="I254" s="6"/>
    </row>
    <row r="255" spans="1:9">
      <c r="A255" s="4">
        <v>254</v>
      </c>
      <c r="B255" s="14">
        <v>9</v>
      </c>
      <c r="C255" s="6" t="s">
        <v>31</v>
      </c>
      <c r="D255" s="12" t="s">
        <v>607</v>
      </c>
      <c r="E255" s="6" t="s">
        <v>12</v>
      </c>
      <c r="F255" s="12" t="s">
        <v>608</v>
      </c>
      <c r="G255" s="8" t="str">
        <f ca="1">IFERROR(__xludf.DUMMYFUNCTION("GOOGLETRANSLATE(D255,""zh"",""vi"")"),"học")</f>
        <v>học</v>
      </c>
      <c r="H255" s="9" t="s">
        <v>150</v>
      </c>
      <c r="I255" s="6"/>
    </row>
    <row r="256" spans="1:9">
      <c r="A256" s="4">
        <v>255</v>
      </c>
      <c r="B256" s="14">
        <v>8</v>
      </c>
      <c r="C256" s="6" t="s">
        <v>31</v>
      </c>
      <c r="D256" s="12" t="s">
        <v>609</v>
      </c>
      <c r="E256" s="6" t="s">
        <v>23</v>
      </c>
      <c r="F256" s="12" t="s">
        <v>610</v>
      </c>
      <c r="G256" s="8" t="str">
        <f ca="1">IFERROR(__xludf.DUMMYFUNCTION("GOOGLETRANSLATE(D256,""zh"",""vi"")"),"Trường học")</f>
        <v>Trường học</v>
      </c>
      <c r="H256" s="9" t="s">
        <v>90</v>
      </c>
      <c r="I256" s="6"/>
    </row>
    <row r="257" spans="1:9">
      <c r="A257" s="4">
        <v>256</v>
      </c>
      <c r="B257" s="14">
        <v>12</v>
      </c>
      <c r="C257" s="6" t="s">
        <v>61</v>
      </c>
      <c r="D257" s="12" t="s">
        <v>611</v>
      </c>
      <c r="E257" s="6" t="s">
        <v>23</v>
      </c>
      <c r="F257" s="12" t="s">
        <v>612</v>
      </c>
      <c r="G257" s="8" t="str">
        <f ca="1">IFERROR(__xludf.DUMMYFUNCTION("GOOGLETRANSLATE(D257,""zh"",""vi"")"),"Tuyết")</f>
        <v>Tuyết</v>
      </c>
      <c r="H257" s="9" t="s">
        <v>203</v>
      </c>
      <c r="I257" s="6"/>
    </row>
    <row r="258" spans="1:9">
      <c r="A258" s="4">
        <v>257</v>
      </c>
      <c r="B258" s="14">
        <v>12</v>
      </c>
      <c r="C258" s="6" t="s">
        <v>61</v>
      </c>
      <c r="D258" s="12" t="s">
        <v>613</v>
      </c>
      <c r="E258" s="6" t="s">
        <v>23</v>
      </c>
      <c r="F258" s="12" t="s">
        <v>614</v>
      </c>
      <c r="G258" s="8" t="str">
        <f ca="1">IFERROR(__xludf.DUMMYFUNCTION("GOOGLETRANSLATE(D258,""zh"",""vi"")"),"thuốc")</f>
        <v>thuốc</v>
      </c>
      <c r="H258" s="9" t="s">
        <v>64</v>
      </c>
      <c r="I258" s="6"/>
    </row>
    <row r="259" spans="1:9">
      <c r="A259" s="4">
        <v>258</v>
      </c>
      <c r="B259" s="12" t="s">
        <v>615</v>
      </c>
      <c r="C259" s="6" t="s">
        <v>616</v>
      </c>
      <c r="D259" s="12" t="s">
        <v>617</v>
      </c>
      <c r="E259" s="6" t="s">
        <v>238</v>
      </c>
      <c r="F259" s="12" t="s">
        <v>614</v>
      </c>
      <c r="G259" s="8" t="s">
        <v>618</v>
      </c>
      <c r="H259" s="9" t="s">
        <v>30</v>
      </c>
      <c r="I259" s="6"/>
    </row>
    <row r="260" spans="1:9">
      <c r="A260" s="4">
        <v>259</v>
      </c>
      <c r="B260" s="14">
        <v>2</v>
      </c>
      <c r="C260" s="6" t="s">
        <v>76</v>
      </c>
      <c r="D260" s="12" t="s">
        <v>619</v>
      </c>
      <c r="E260" s="6" t="s">
        <v>74</v>
      </c>
      <c r="F260" s="12" t="s">
        <v>620</v>
      </c>
      <c r="G260" s="8" t="str">
        <f ca="1">IFERROR(__xludf.DUMMYFUNCTION("GOOGLETRANSLATE(D260,""zh"",""vi"")"),"Mà còn")</f>
        <v>Mà còn</v>
      </c>
      <c r="H260" s="9" t="s">
        <v>30</v>
      </c>
      <c r="I260" s="6"/>
    </row>
    <row r="261" spans="1:9">
      <c r="A261" s="4">
        <v>260</v>
      </c>
      <c r="B261" s="14">
        <v>4</v>
      </c>
      <c r="C261" s="6" t="s">
        <v>17</v>
      </c>
      <c r="D261" s="12" t="s">
        <v>621</v>
      </c>
      <c r="E261" s="6" t="s">
        <v>19</v>
      </c>
      <c r="F261" s="12" t="s">
        <v>622</v>
      </c>
      <c r="G261" s="8" t="str">
        <f ca="1">IFERROR(__xludf.DUMMYFUNCTION("GOOGLETRANSLATE(D261,""zh"",""vi"")"),"một")</f>
        <v>một</v>
      </c>
      <c r="H261" s="9" t="s">
        <v>21</v>
      </c>
      <c r="I261" s="6"/>
    </row>
    <row r="262" spans="1:9">
      <c r="A262" s="4">
        <v>261</v>
      </c>
      <c r="B262" s="14">
        <v>13</v>
      </c>
      <c r="C262" s="6" t="s">
        <v>43</v>
      </c>
      <c r="D262" s="12" t="s">
        <v>623</v>
      </c>
      <c r="E262" s="6" t="s">
        <v>19</v>
      </c>
      <c r="F262" s="12" t="s">
        <v>624</v>
      </c>
      <c r="G262" s="8" t="str">
        <f ca="1">IFERROR(__xludf.DUMMYFUNCTION("GOOGLETRANSLATE(D262,""zh"",""vi"")"),"một nửa")</f>
        <v>một nửa</v>
      </c>
      <c r="H262" s="9" t="s">
        <v>21</v>
      </c>
      <c r="I262" s="6"/>
    </row>
    <row r="263" spans="1:9">
      <c r="A263" s="4">
        <v>262</v>
      </c>
      <c r="B263" s="14">
        <v>13</v>
      </c>
      <c r="C263" s="6" t="s">
        <v>43</v>
      </c>
      <c r="D263" s="12" t="s">
        <v>625</v>
      </c>
      <c r="E263" s="6" t="s">
        <v>626</v>
      </c>
      <c r="F263" s="12" t="s">
        <v>627</v>
      </c>
      <c r="G263" s="8" t="str">
        <f ca="1">IFERROR(__xludf.DUMMYFUNCTION("GOOGLETRANSLATE(D263,""zh"",""vi"")"),"một lần")</f>
        <v>một lần</v>
      </c>
      <c r="H263" s="9" t="s">
        <v>21</v>
      </c>
      <c r="I263" s="6"/>
    </row>
    <row r="264" spans="1:9">
      <c r="A264" s="4">
        <v>263</v>
      </c>
      <c r="B264" s="14">
        <v>12</v>
      </c>
      <c r="C264" s="6" t="s">
        <v>61</v>
      </c>
      <c r="D264" s="12" t="s">
        <v>628</v>
      </c>
      <c r="E264" s="6" t="s">
        <v>19</v>
      </c>
      <c r="F264" s="12" t="s">
        <v>629</v>
      </c>
      <c r="G264" s="8" t="str">
        <f ca="1">IFERROR(__xludf.DUMMYFUNCTION("GOOGLETRANSLATE(D264,""zh"",""vi"")"),"một chút")</f>
        <v>một chút</v>
      </c>
      <c r="H264" s="9" t="s">
        <v>21</v>
      </c>
      <c r="I264" s="6"/>
    </row>
    <row r="265" spans="1:9">
      <c r="A265" s="4">
        <v>264</v>
      </c>
      <c r="B265" s="14">
        <v>5</v>
      </c>
      <c r="C265" s="6" t="s">
        <v>132</v>
      </c>
      <c r="D265" s="12" t="s">
        <v>630</v>
      </c>
      <c r="E265" s="6" t="s">
        <v>19</v>
      </c>
      <c r="F265" s="12" t="s">
        <v>631</v>
      </c>
      <c r="G265" s="8" t="str">
        <f ca="1">IFERROR(__xludf.DUMMYFUNCTION("GOOGLETRANSLATE(D265,""zh"",""vi"")"),"Một số")</f>
        <v>Một số</v>
      </c>
      <c r="H265" s="9" t="s">
        <v>21</v>
      </c>
      <c r="I265" s="6"/>
    </row>
    <row r="266" spans="1:9">
      <c r="A266" s="4">
        <v>265</v>
      </c>
      <c r="B266" s="14">
        <v>10</v>
      </c>
      <c r="C266" s="6" t="s">
        <v>49</v>
      </c>
      <c r="D266" s="12" t="s">
        <v>632</v>
      </c>
      <c r="E266" s="6" t="s">
        <v>23</v>
      </c>
      <c r="F266" s="12" t="s">
        <v>633</v>
      </c>
      <c r="G266" s="8" t="str">
        <f ca="1">IFERROR(__xludf.DUMMYFUNCTION("GOOGLETRANSLATE(D266,""zh"",""vi"")"),"quần áo")</f>
        <v>quần áo</v>
      </c>
      <c r="H266" s="9" t="s">
        <v>48</v>
      </c>
      <c r="I266" s="6"/>
    </row>
    <row r="267" spans="1:9">
      <c r="A267" s="4">
        <v>266</v>
      </c>
      <c r="B267" s="14">
        <v>11</v>
      </c>
      <c r="C267" s="6" t="s">
        <v>91</v>
      </c>
      <c r="D267" s="12" t="s">
        <v>634</v>
      </c>
      <c r="E267" s="6" t="s">
        <v>23</v>
      </c>
      <c r="F267" s="12" t="s">
        <v>622</v>
      </c>
      <c r="G267" s="8" t="s">
        <v>635</v>
      </c>
      <c r="H267" s="9" t="s">
        <v>115</v>
      </c>
      <c r="I267" s="6"/>
    </row>
    <row r="268" spans="1:9">
      <c r="A268" s="4">
        <v>267</v>
      </c>
      <c r="B268" s="14">
        <v>8</v>
      </c>
      <c r="C268" s="6" t="s">
        <v>31</v>
      </c>
      <c r="D268" s="12" t="s">
        <v>636</v>
      </c>
      <c r="E268" s="6" t="s">
        <v>23</v>
      </c>
      <c r="F268" s="12" t="s">
        <v>637</v>
      </c>
      <c r="G268" s="8" t="str">
        <f ca="1">IFERROR(__xludf.DUMMYFUNCTION("GOOGLETRANSLATE(D268,""zh"",""vi"")"),"bác sĩ")</f>
        <v>bác sĩ</v>
      </c>
      <c r="H268" s="9" t="s">
        <v>115</v>
      </c>
      <c r="I268" s="6"/>
    </row>
    <row r="269" spans="1:9">
      <c r="A269" s="4">
        <v>268</v>
      </c>
      <c r="B269" s="14">
        <v>7</v>
      </c>
      <c r="C269" s="6" t="s">
        <v>25</v>
      </c>
      <c r="D269" s="12" t="s">
        <v>638</v>
      </c>
      <c r="E269" s="6" t="s">
        <v>23</v>
      </c>
      <c r="F269" s="12" t="s">
        <v>639</v>
      </c>
      <c r="G269" s="8" t="str">
        <f ca="1">IFERROR(__xludf.DUMMYFUNCTION("GOOGLETRANSLATE(D269,""zh"",""vi"")"),"Bệnh viện")</f>
        <v>Bệnh viện</v>
      </c>
      <c r="H269" s="9" t="s">
        <v>90</v>
      </c>
      <c r="I269" s="6"/>
    </row>
    <row r="270" spans="1:9">
      <c r="A270" s="4">
        <v>269</v>
      </c>
      <c r="B270" s="14">
        <v>9</v>
      </c>
      <c r="C270" s="6" t="s">
        <v>31</v>
      </c>
      <c r="D270" s="12" t="s">
        <v>640</v>
      </c>
      <c r="E270" s="6" t="s">
        <v>23</v>
      </c>
      <c r="F270" s="12" t="s">
        <v>641</v>
      </c>
      <c r="G270" s="8" t="s">
        <v>642</v>
      </c>
      <c r="H270" s="9" t="s">
        <v>48</v>
      </c>
      <c r="I270" s="6"/>
    </row>
    <row r="271" spans="1:9">
      <c r="A271" s="4">
        <v>270</v>
      </c>
      <c r="B271" s="14">
        <v>4</v>
      </c>
      <c r="C271" s="6" t="s">
        <v>17</v>
      </c>
      <c r="D271" s="12" t="s">
        <v>643</v>
      </c>
      <c r="E271" s="6" t="s">
        <v>12</v>
      </c>
      <c r="F271" s="12" t="s">
        <v>644</v>
      </c>
      <c r="G271" s="8" t="str">
        <f ca="1">IFERROR(__xludf.DUMMYFUNCTION("GOOGLETRANSLATE(D271,""zh"",""vi"")"),"có")</f>
        <v>có</v>
      </c>
      <c r="H271" s="9" t="s">
        <v>21</v>
      </c>
      <c r="I271" s="6"/>
    </row>
    <row r="272" spans="1:9">
      <c r="A272" s="4">
        <v>271</v>
      </c>
      <c r="B272" s="14">
        <v>14</v>
      </c>
      <c r="C272" s="6" t="s">
        <v>72</v>
      </c>
      <c r="D272" s="12" t="s">
        <v>645</v>
      </c>
      <c r="E272" s="6" t="s">
        <v>109</v>
      </c>
      <c r="F272" s="12" t="s">
        <v>646</v>
      </c>
      <c r="G272" s="8" t="str">
        <f ca="1">IFERROR(__xludf.DUMMYFUNCTION("GOOGLETRANSLATE(D272,""zh"",""vi"")"),"một số")</f>
        <v>một số</v>
      </c>
      <c r="H272" s="9" t="s">
        <v>21</v>
      </c>
      <c r="I272" s="6"/>
    </row>
    <row r="273" spans="1:9">
      <c r="A273" s="4">
        <v>272</v>
      </c>
      <c r="B273" s="14">
        <v>12</v>
      </c>
      <c r="C273" s="6" t="s">
        <v>61</v>
      </c>
      <c r="D273" s="12" t="s">
        <v>647</v>
      </c>
      <c r="E273" s="6" t="s">
        <v>74</v>
      </c>
      <c r="F273" s="12" t="s">
        <v>648</v>
      </c>
      <c r="G273" s="8" t="s">
        <v>649</v>
      </c>
      <c r="H273" s="9" t="s">
        <v>21</v>
      </c>
      <c r="I273" s="6"/>
    </row>
    <row r="274" spans="1:9">
      <c r="A274" s="4">
        <v>273</v>
      </c>
      <c r="B274" s="14">
        <v>14</v>
      </c>
      <c r="C274" s="6" t="s">
        <v>72</v>
      </c>
      <c r="D274" s="12" t="s">
        <v>650</v>
      </c>
      <c r="E274" s="6" t="s">
        <v>109</v>
      </c>
      <c r="F274" s="12" t="s">
        <v>651</v>
      </c>
      <c r="G274" s="8" t="str">
        <f ca="1">IFERROR(__xludf.DUMMYFUNCTION("GOOGLETRANSLATE(D274,""zh"",""vi"")"),"một số")</f>
        <v>một số</v>
      </c>
      <c r="H274" s="9" t="s">
        <v>21</v>
      </c>
      <c r="I274" s="6"/>
    </row>
    <row r="275" spans="1:9">
      <c r="A275" s="4">
        <v>274</v>
      </c>
      <c r="B275" s="14">
        <v>12</v>
      </c>
      <c r="C275" s="6" t="s">
        <v>61</v>
      </c>
      <c r="D275" s="12" t="s">
        <v>652</v>
      </c>
      <c r="E275" s="6" t="s">
        <v>23</v>
      </c>
      <c r="F275" s="12" t="s">
        <v>653</v>
      </c>
      <c r="G275" s="8" t="str">
        <f ca="1">IFERROR(__xludf.DUMMYFUNCTION("GOOGLETRANSLATE(D275,""zh"",""vi"")"),"cơn mưa")</f>
        <v>cơn mưa</v>
      </c>
      <c r="H275" s="9" t="s">
        <v>203</v>
      </c>
      <c r="I275" s="6"/>
    </row>
    <row r="276" spans="1:9">
      <c r="A276" s="4">
        <v>275</v>
      </c>
      <c r="B276" s="14">
        <v>10</v>
      </c>
      <c r="C276" s="6" t="s">
        <v>49</v>
      </c>
      <c r="D276" s="12" t="s">
        <v>654</v>
      </c>
      <c r="E276" s="6" t="s">
        <v>54</v>
      </c>
      <c r="F276" s="12" t="s">
        <v>655</v>
      </c>
      <c r="G276" s="8" t="s">
        <v>656</v>
      </c>
      <c r="H276" s="9" t="s">
        <v>48</v>
      </c>
      <c r="I276" s="6"/>
    </row>
    <row r="277" spans="1:9">
      <c r="A277" s="4">
        <v>276</v>
      </c>
      <c r="B277" s="14">
        <v>5</v>
      </c>
      <c r="C277" s="6" t="s">
        <v>132</v>
      </c>
      <c r="D277" s="12" t="s">
        <v>657</v>
      </c>
      <c r="E277" s="6" t="s">
        <v>23</v>
      </c>
      <c r="F277" s="12" t="s">
        <v>658</v>
      </c>
      <c r="G277" s="8" t="str">
        <f ca="1">IFERROR(__xludf.DUMMYFUNCTION("GOOGLETRANSLATE(D277,""zh"",""vi"")"),"mặt trăng")</f>
        <v>mặt trăng</v>
      </c>
      <c r="H277" s="9" t="s">
        <v>34</v>
      </c>
      <c r="I277" s="6"/>
    </row>
    <row r="278" spans="1:9">
      <c r="A278" s="4">
        <v>277</v>
      </c>
      <c r="B278" s="14">
        <v>12.13</v>
      </c>
      <c r="C278" s="6" t="s">
        <v>659</v>
      </c>
      <c r="D278" s="12" t="s">
        <v>660</v>
      </c>
      <c r="E278" s="6" t="s">
        <v>74</v>
      </c>
      <c r="F278" s="12" t="s">
        <v>661</v>
      </c>
      <c r="G278" s="8" t="str">
        <f ca="1">IFERROR(__xludf.DUMMYFUNCTION("GOOGLETRANSLATE(D278,""zh"",""vi"")"),"Lại")</f>
        <v>Lại</v>
      </c>
      <c r="H278" s="9" t="s">
        <v>30</v>
      </c>
      <c r="I278" s="6"/>
    </row>
    <row r="279" spans="1:9">
      <c r="A279" s="4">
        <v>278</v>
      </c>
      <c r="B279" s="5">
        <v>1</v>
      </c>
      <c r="C279" s="6" t="s">
        <v>69</v>
      </c>
      <c r="D279" s="12" t="s">
        <v>662</v>
      </c>
      <c r="E279" s="6" t="s">
        <v>12</v>
      </c>
      <c r="F279" s="12" t="s">
        <v>663</v>
      </c>
      <c r="G279" s="8" t="str">
        <f ca="1">IFERROR(__xludf.DUMMYFUNCTION("GOOGLETRANSLATE(D279,""zh"",""vi"")"),"tạm biệt")</f>
        <v>tạm biệt</v>
      </c>
      <c r="H279" s="9" t="s">
        <v>30</v>
      </c>
      <c r="I279" s="6"/>
    </row>
    <row r="280" spans="1:9">
      <c r="A280" s="4">
        <v>279</v>
      </c>
      <c r="B280" s="15">
        <v>40762</v>
      </c>
      <c r="C280" s="6" t="s">
        <v>664</v>
      </c>
      <c r="D280" s="12" t="s">
        <v>665</v>
      </c>
      <c r="E280" s="6" t="s">
        <v>666</v>
      </c>
      <c r="F280" s="12" t="s">
        <v>661</v>
      </c>
      <c r="G280" s="8" t="s">
        <v>667</v>
      </c>
      <c r="H280" s="9" t="s">
        <v>30</v>
      </c>
      <c r="I280" s="6"/>
    </row>
    <row r="281" spans="1:9">
      <c r="A281" s="4">
        <v>280</v>
      </c>
      <c r="B281" s="14">
        <v>15</v>
      </c>
      <c r="C281" s="6" t="s">
        <v>10</v>
      </c>
      <c r="D281" s="12" t="s">
        <v>668</v>
      </c>
      <c r="E281" s="6" t="s">
        <v>105</v>
      </c>
      <c r="F281" s="12" t="s">
        <v>669</v>
      </c>
      <c r="G281" s="8" t="s">
        <v>670</v>
      </c>
      <c r="H281" s="9" t="s">
        <v>34</v>
      </c>
      <c r="I281" s="6"/>
    </row>
    <row r="282" spans="1:9">
      <c r="A282" s="4">
        <v>281</v>
      </c>
      <c r="B282" s="14">
        <v>13</v>
      </c>
      <c r="C282" s="6" t="s">
        <v>43</v>
      </c>
      <c r="D282" s="12" t="s">
        <v>671</v>
      </c>
      <c r="E282" s="6" t="s">
        <v>23</v>
      </c>
      <c r="F282" s="12" t="s">
        <v>672</v>
      </c>
      <c r="G282" s="8" t="str">
        <f ca="1">IFERROR(__xludf.DUMMYFUNCTION("GOOGLETRANSLATE(D282,""zh"",""vi"")"),"bữa sáng")</f>
        <v>bữa sáng</v>
      </c>
      <c r="H282" s="9" t="s">
        <v>42</v>
      </c>
      <c r="I282" s="6"/>
    </row>
    <row r="283" spans="1:9">
      <c r="A283" s="4">
        <v>282</v>
      </c>
      <c r="B283" s="14">
        <v>7</v>
      </c>
      <c r="C283" s="6" t="s">
        <v>25</v>
      </c>
      <c r="D283" s="12" t="s">
        <v>673</v>
      </c>
      <c r="E283" s="6" t="s">
        <v>23</v>
      </c>
      <c r="F283" s="12" t="s">
        <v>674</v>
      </c>
      <c r="G283" s="8" t="str">
        <f ca="1">IFERROR(__xludf.DUMMYFUNCTION("GOOGLETRANSLATE(D283,""zh"",""vi"")"),"Buổi sáng")</f>
        <v>Buổi sáng</v>
      </c>
      <c r="H283" s="9" t="s">
        <v>203</v>
      </c>
      <c r="I283" s="6"/>
    </row>
    <row r="284" spans="1:9">
      <c r="A284" s="4">
        <v>283</v>
      </c>
      <c r="B284" s="14">
        <v>6</v>
      </c>
      <c r="C284" s="6" t="s">
        <v>39</v>
      </c>
      <c r="D284" s="12" t="s">
        <v>675</v>
      </c>
      <c r="E284" s="6" t="s">
        <v>109</v>
      </c>
      <c r="F284" s="12" t="s">
        <v>676</v>
      </c>
      <c r="G284" s="8" t="str">
        <f ca="1">IFERROR(__xludf.DUMMYFUNCTION("GOOGLETRANSLATE(D284,""zh"",""vi"")"),"Làm sao")</f>
        <v>Làm sao</v>
      </c>
      <c r="H284" s="9" t="s">
        <v>30</v>
      </c>
      <c r="I284" s="6"/>
    </row>
    <row r="285" spans="1:9">
      <c r="A285" s="4">
        <v>284</v>
      </c>
      <c r="B285" s="14">
        <v>10</v>
      </c>
      <c r="C285" s="6" t="s">
        <v>49</v>
      </c>
      <c r="D285" s="12" t="s">
        <v>677</v>
      </c>
      <c r="E285" s="6" t="s">
        <v>109</v>
      </c>
      <c r="F285" s="12" t="s">
        <v>678</v>
      </c>
      <c r="G285" s="8" t="str">
        <f ca="1">IFERROR(__xludf.DUMMYFUNCTION("GOOGLETRANSLATE(D285,""zh"",""vi"")"),"Thế nào?")</f>
        <v>Thế nào?</v>
      </c>
      <c r="H285" s="9" t="s">
        <v>30</v>
      </c>
      <c r="I285" s="6"/>
    </row>
    <row r="286" spans="1:9">
      <c r="A286" s="4">
        <v>285</v>
      </c>
      <c r="B286" s="14">
        <v>11</v>
      </c>
      <c r="C286" s="6" t="s">
        <v>91</v>
      </c>
      <c r="D286" s="12" t="s">
        <v>679</v>
      </c>
      <c r="E286" s="6" t="s">
        <v>12</v>
      </c>
      <c r="F286" s="12" t="s">
        <v>680</v>
      </c>
      <c r="G286" s="8" t="str">
        <f ca="1">IFERROR(__xludf.DUMMYFUNCTION("GOOGLETRANSLATE(D286,""zh"",""vi"")"),"cố gắng tìm")</f>
        <v>cố gắng tìm</v>
      </c>
      <c r="H286" s="9" t="s">
        <v>87</v>
      </c>
      <c r="I286" s="6"/>
    </row>
    <row r="287" spans="1:9">
      <c r="A287" s="4">
        <v>286</v>
      </c>
      <c r="B287" s="14">
        <v>3</v>
      </c>
      <c r="C287" s="6" t="s">
        <v>118</v>
      </c>
      <c r="D287" s="12" t="s">
        <v>681</v>
      </c>
      <c r="E287" s="6"/>
      <c r="F287" s="12" t="s">
        <v>682</v>
      </c>
      <c r="G287" s="8" t="str">
        <f ca="1">IFERROR(__xludf.DUMMYFUNCTION("GOOGLETRANSLATE(D287,""zh"",""vi"")"),"Trung Quốc")</f>
        <v>Trung Quốc</v>
      </c>
      <c r="H287" s="9" t="s">
        <v>90</v>
      </c>
      <c r="I287" s="6"/>
    </row>
    <row r="288" spans="1:9" ht="15.75" customHeight="1">
      <c r="A288" s="4">
        <v>287</v>
      </c>
      <c r="B288" s="14">
        <v>3</v>
      </c>
      <c r="C288" s="6" t="s">
        <v>118</v>
      </c>
      <c r="D288" s="12" t="s">
        <v>683</v>
      </c>
      <c r="E288" s="6"/>
      <c r="F288" s="16" t="s">
        <v>684</v>
      </c>
      <c r="G288" s="8" t="str">
        <f ca="1">IFERROR(__xludf.DUMMYFUNCTION("GOOGLETRANSLATE(D288,""zh"",""vi"")"),"Pháp")</f>
        <v>Pháp</v>
      </c>
      <c r="H288" s="9" t="s">
        <v>90</v>
      </c>
      <c r="I288" s="6"/>
    </row>
    <row r="289" spans="1:9" ht="15.75" customHeight="1">
      <c r="A289" s="4">
        <v>288</v>
      </c>
      <c r="B289" s="14">
        <v>3</v>
      </c>
      <c r="C289" s="6" t="s">
        <v>118</v>
      </c>
      <c r="D289" s="12" t="s">
        <v>685</v>
      </c>
      <c r="E289" s="6"/>
      <c r="F289" s="16" t="s">
        <v>686</v>
      </c>
      <c r="G289" s="8" t="str">
        <f ca="1">IFERROR(__xludf.DUMMYFUNCTION("GOOGLETRANSLATE(D289,""zh"",""vi"")"),"Thái Lan")</f>
        <v>Thái Lan</v>
      </c>
      <c r="H289" s="9" t="s">
        <v>90</v>
      </c>
      <c r="I289" s="6"/>
    </row>
    <row r="290" spans="1:9">
      <c r="A290" s="4">
        <v>289</v>
      </c>
      <c r="B290" s="14">
        <v>3</v>
      </c>
      <c r="C290" s="6" t="s">
        <v>118</v>
      </c>
      <c r="D290" s="12" t="s">
        <v>687</v>
      </c>
      <c r="E290" s="6"/>
      <c r="F290" s="12" t="s">
        <v>688</v>
      </c>
      <c r="G290" s="8" t="s">
        <v>689</v>
      </c>
      <c r="H290" s="9" t="s">
        <v>48</v>
      </c>
      <c r="I290" s="6"/>
    </row>
    <row r="291" spans="1:9">
      <c r="A291" s="4">
        <v>290</v>
      </c>
      <c r="B291" s="14">
        <v>3</v>
      </c>
      <c r="C291" s="6" t="s">
        <v>118</v>
      </c>
      <c r="D291" s="12" t="s">
        <v>690</v>
      </c>
      <c r="E291" s="6" t="s">
        <v>109</v>
      </c>
      <c r="F291" s="12" t="s">
        <v>691</v>
      </c>
      <c r="G291" s="8" t="str">
        <f ca="1">IFERROR(__xludf.DUMMYFUNCTION("GOOGLETRANSLATE(D291,""zh"",""vi"")"),"cô ấy")</f>
        <v>cô ấy</v>
      </c>
      <c r="H291" s="9" t="s">
        <v>7</v>
      </c>
      <c r="I291" s="6"/>
    </row>
    <row r="292" spans="1:9">
      <c r="A292" s="4">
        <v>291</v>
      </c>
      <c r="B292" s="14">
        <v>3</v>
      </c>
      <c r="C292" s="6" t="s">
        <v>118</v>
      </c>
      <c r="D292" s="12" t="s">
        <v>692</v>
      </c>
      <c r="E292" s="6" t="s">
        <v>109</v>
      </c>
      <c r="F292" s="12" t="s">
        <v>693</v>
      </c>
      <c r="G292" s="8" t="str">
        <f ca="1">IFERROR(__xludf.DUMMYFUNCTION("GOOGLETRANSLATE(D292,""zh"",""vi"")"),"cái này")</f>
        <v>cái này</v>
      </c>
      <c r="H292" s="9" t="s">
        <v>30</v>
      </c>
      <c r="I292" s="6"/>
    </row>
    <row r="293" spans="1:9">
      <c r="A293" s="4">
        <v>292</v>
      </c>
      <c r="B293" s="14">
        <v>10</v>
      </c>
      <c r="C293" s="6" t="s">
        <v>49</v>
      </c>
      <c r="D293" s="12" t="s">
        <v>694</v>
      </c>
      <c r="E293" s="6" t="s">
        <v>109</v>
      </c>
      <c r="F293" s="12" t="s">
        <v>695</v>
      </c>
      <c r="G293" s="8" t="str">
        <f ca="1">IFERROR(__xludf.DUMMYFUNCTION("GOOGLETRANSLATE(D293,""zh"",""vi"")"),"Theo cách này")</f>
        <v>Theo cách này</v>
      </c>
      <c r="H293" s="9" t="s">
        <v>60</v>
      </c>
      <c r="I293" s="6"/>
    </row>
    <row r="294" spans="1:9">
      <c r="A294" s="4">
        <v>293</v>
      </c>
      <c r="B294" s="14">
        <v>13</v>
      </c>
      <c r="C294" s="6" t="s">
        <v>43</v>
      </c>
      <c r="D294" s="12" t="s">
        <v>696</v>
      </c>
      <c r="E294" s="6" t="s">
        <v>109</v>
      </c>
      <c r="F294" s="12" t="s">
        <v>697</v>
      </c>
      <c r="G294" s="8" t="str">
        <f ca="1">IFERROR(__xludf.DUMMYFUNCTION("GOOGLETRANSLATE(D294,""zh"",""vi"")"),"cái này")</f>
        <v>cái này</v>
      </c>
      <c r="H294" s="9" t="s">
        <v>60</v>
      </c>
      <c r="I294" s="6"/>
    </row>
    <row r="295" spans="1:9">
      <c r="A295" s="4">
        <v>294</v>
      </c>
      <c r="B295" s="14">
        <v>12</v>
      </c>
      <c r="C295" s="6" t="s">
        <v>61</v>
      </c>
      <c r="D295" s="12" t="s">
        <v>698</v>
      </c>
      <c r="E295" s="6" t="s">
        <v>109</v>
      </c>
      <c r="F295" s="12" t="s">
        <v>699</v>
      </c>
      <c r="G295" s="8" t="str">
        <f ca="1">IFERROR(__xludf.DUMMYFUNCTION("GOOGLETRANSLATE(D295,""zh"",""vi"")"),"đây")</f>
        <v>đây</v>
      </c>
      <c r="H295" s="9" t="s">
        <v>90</v>
      </c>
      <c r="I295" s="6"/>
    </row>
    <row r="296" spans="1:9">
      <c r="A296" s="4">
        <v>295</v>
      </c>
      <c r="B296" s="14">
        <v>10</v>
      </c>
      <c r="C296" s="6" t="s">
        <v>49</v>
      </c>
      <c r="D296" s="12" t="s">
        <v>700</v>
      </c>
      <c r="E296" s="6" t="s">
        <v>109</v>
      </c>
      <c r="F296" s="12" t="s">
        <v>701</v>
      </c>
      <c r="G296" s="8" t="str">
        <f ca="1">IFERROR(__xludf.DUMMYFUNCTION("GOOGLETRANSLATE(D296,""zh"",""vi"")"),"đây")</f>
        <v>đây</v>
      </c>
      <c r="H296" s="9" t="s">
        <v>90</v>
      </c>
      <c r="I296" s="6"/>
    </row>
    <row r="297" spans="1:9">
      <c r="A297" s="4">
        <v>296</v>
      </c>
      <c r="B297" s="14">
        <v>10</v>
      </c>
      <c r="C297" s="6" t="s">
        <v>49</v>
      </c>
      <c r="D297" s="12" t="s">
        <v>702</v>
      </c>
      <c r="E297" s="6" t="s">
        <v>109</v>
      </c>
      <c r="F297" s="12" t="s">
        <v>703</v>
      </c>
      <c r="G297" s="8" t="str">
        <f ca="1">IFERROR(__xludf.DUMMYFUNCTION("GOOGLETRANSLATE(D297,""zh"",""vi"")"),"Những cái này")</f>
        <v>Những cái này</v>
      </c>
      <c r="H297" s="9" t="s">
        <v>30</v>
      </c>
      <c r="I297" s="6"/>
    </row>
    <row r="298" spans="1:9">
      <c r="A298" s="4">
        <v>297</v>
      </c>
      <c r="B298" s="14">
        <v>5</v>
      </c>
      <c r="C298" s="6" t="s">
        <v>132</v>
      </c>
      <c r="D298" s="12" t="s">
        <v>704</v>
      </c>
      <c r="E298" s="6" t="s">
        <v>74</v>
      </c>
      <c r="F298" s="12" t="s">
        <v>705</v>
      </c>
      <c r="G298" s="8" t="s">
        <v>706</v>
      </c>
      <c r="H298" s="9" t="s">
        <v>107</v>
      </c>
      <c r="I298" s="6"/>
    </row>
    <row r="299" spans="1:9">
      <c r="A299" s="4">
        <v>298</v>
      </c>
      <c r="B299" s="14">
        <v>11</v>
      </c>
      <c r="C299" s="6" t="s">
        <v>91</v>
      </c>
      <c r="D299" s="12" t="s">
        <v>707</v>
      </c>
      <c r="E299" s="6" t="s">
        <v>74</v>
      </c>
      <c r="F299" s="12" t="s">
        <v>708</v>
      </c>
      <c r="G299" s="8" t="str">
        <f ca="1">IFERROR(__xludf.DUMMYFUNCTION("GOOGLETRANSLATE(D299,""zh"",""vi"")"),"Đang tiến hành")</f>
        <v>Đang tiến hành</v>
      </c>
      <c r="H299" s="9" t="s">
        <v>30</v>
      </c>
      <c r="I299" s="6"/>
    </row>
    <row r="300" spans="1:9">
      <c r="A300" s="4">
        <v>299</v>
      </c>
      <c r="B300" s="14">
        <v>8</v>
      </c>
      <c r="C300" s="6" t="s">
        <v>31</v>
      </c>
      <c r="D300" s="12" t="s">
        <v>709</v>
      </c>
      <c r="E300" s="6" t="s">
        <v>54</v>
      </c>
      <c r="F300" s="12" t="s">
        <v>710</v>
      </c>
      <c r="G300" s="8" t="s">
        <v>711</v>
      </c>
      <c r="H300" s="9" t="s">
        <v>21</v>
      </c>
      <c r="I300" s="6"/>
    </row>
    <row r="301" spans="1:9">
      <c r="A301" s="4">
        <v>300</v>
      </c>
      <c r="B301" s="14">
        <v>11</v>
      </c>
      <c r="C301" s="6" t="s">
        <v>91</v>
      </c>
      <c r="D301" s="12" t="s">
        <v>712</v>
      </c>
      <c r="E301" s="6" t="s">
        <v>12</v>
      </c>
      <c r="F301" s="12" t="s">
        <v>713</v>
      </c>
      <c r="G301" s="8" t="s">
        <v>714</v>
      </c>
      <c r="H301" s="9" t="s">
        <v>150</v>
      </c>
      <c r="I301" s="6"/>
    </row>
    <row r="302" spans="1:9">
      <c r="A302" s="4">
        <v>301</v>
      </c>
      <c r="B302" s="14">
        <v>14</v>
      </c>
      <c r="C302" s="6" t="s">
        <v>72</v>
      </c>
      <c r="D302" s="12" t="s">
        <v>715</v>
      </c>
      <c r="E302" s="6" t="s">
        <v>23</v>
      </c>
      <c r="F302" s="12" t="s">
        <v>716</v>
      </c>
      <c r="G302" s="8" t="str">
        <f ca="1">IFERROR(__xludf.DUMMYFUNCTION("GOOGLETRANSLATE(D302,""zh"",""vi"")"),"buổi trưa")</f>
        <v>buổi trưa</v>
      </c>
      <c r="H302" s="9" t="s">
        <v>34</v>
      </c>
      <c r="I302" s="6"/>
    </row>
    <row r="303" spans="1:9">
      <c r="A303" s="4">
        <v>302</v>
      </c>
      <c r="B303" s="14">
        <v>14</v>
      </c>
      <c r="C303" s="6" t="s">
        <v>72</v>
      </c>
      <c r="D303" s="12" t="s">
        <v>717</v>
      </c>
      <c r="E303" s="6" t="s">
        <v>23</v>
      </c>
      <c r="F303" s="12" t="s">
        <v>718</v>
      </c>
      <c r="G303" s="8" t="str">
        <f ca="1">IFERROR(__xludf.DUMMYFUNCTION("GOOGLETRANSLATE(D303,""zh"",""vi"")"),"Trường trung học cơ sở")</f>
        <v>Trường trung học cơ sở</v>
      </c>
      <c r="H303" s="9" t="s">
        <v>90</v>
      </c>
      <c r="I303" s="6"/>
    </row>
    <row r="304" spans="1:9">
      <c r="A304" s="4">
        <v>303</v>
      </c>
      <c r="B304" s="14">
        <v>14</v>
      </c>
      <c r="C304" s="6" t="s">
        <v>72</v>
      </c>
      <c r="D304" s="12" t="s">
        <v>719</v>
      </c>
      <c r="E304" s="6" t="s">
        <v>23</v>
      </c>
      <c r="F304" s="12" t="s">
        <v>720</v>
      </c>
      <c r="G304" s="8" t="str">
        <f ca="1">IFERROR(__xludf.DUMMYFUNCTION("GOOGLETRANSLATE(D304,""zh"",""vi"")"),"học sinh trung học")</f>
        <v>học sinh trung học</v>
      </c>
      <c r="H304" s="9" t="s">
        <v>115</v>
      </c>
      <c r="I304" s="6"/>
    </row>
    <row r="305" spans="1:9">
      <c r="A305" s="4">
        <v>304</v>
      </c>
      <c r="B305" s="14">
        <v>15</v>
      </c>
      <c r="C305" s="6" t="s">
        <v>10</v>
      </c>
      <c r="D305" s="12" t="s">
        <v>721</v>
      </c>
      <c r="E305" s="6" t="s">
        <v>12</v>
      </c>
      <c r="F305" s="12" t="s">
        <v>722</v>
      </c>
      <c r="G305" s="8" t="str">
        <f ca="1">IFERROR(__xludf.DUMMYFUNCTION("GOOGLETRANSLATE(D305,""zh"",""vi"")"),"sống")</f>
        <v>sống</v>
      </c>
      <c r="H305" s="9" t="s">
        <v>87</v>
      </c>
      <c r="I305" s="6"/>
    </row>
    <row r="306" spans="1:9">
      <c r="A306" s="4">
        <v>305</v>
      </c>
      <c r="B306" s="14">
        <v>15</v>
      </c>
      <c r="C306" s="6" t="s">
        <v>10</v>
      </c>
      <c r="D306" s="6" t="s">
        <v>723</v>
      </c>
      <c r="E306" s="6"/>
      <c r="F306" s="6" t="s">
        <v>724</v>
      </c>
      <c r="G306" s="8" t="str">
        <f ca="1">IFERROR(__xludf.DUMMYFUNCTION("GOOGLETRANSLATE(D306,""zh"",""vi"")"),"Tây An")</f>
        <v>Tây An</v>
      </c>
      <c r="H306" s="9" t="s">
        <v>90</v>
      </c>
      <c r="I306" s="6"/>
    </row>
    <row r="307" spans="1:9">
      <c r="A307" s="4">
        <v>306</v>
      </c>
      <c r="B307" s="14">
        <v>15</v>
      </c>
      <c r="C307" s="6" t="s">
        <v>10</v>
      </c>
      <c r="D307" s="6" t="s">
        <v>725</v>
      </c>
      <c r="E307" s="6"/>
      <c r="F307" s="6" t="s">
        <v>726</v>
      </c>
      <c r="G307" s="8" t="str">
        <f ca="1">IFERROR(__xludf.DUMMYFUNCTION("GOOGLETRANSLATE(D307,""zh"",""vi"")"),"Bắc Kinh")</f>
        <v>Bắc Kinh</v>
      </c>
      <c r="H307" s="9" t="s">
        <v>90</v>
      </c>
      <c r="I307" s="6"/>
    </row>
    <row r="308" spans="1:9">
      <c r="A308" s="4">
        <v>307</v>
      </c>
      <c r="B308" s="14">
        <v>8</v>
      </c>
      <c r="C308" s="6" t="s">
        <v>31</v>
      </c>
      <c r="D308" s="12" t="s">
        <v>727</v>
      </c>
      <c r="E308" s="6" t="s">
        <v>23</v>
      </c>
      <c r="F308" s="12" t="s">
        <v>728</v>
      </c>
      <c r="G308" s="8" t="str">
        <f ca="1">IFERROR(__xludf.DUMMYFUNCTION("GOOGLETRANSLATE(D308,""zh"",""vi"")"),"bàn")</f>
        <v>bàn</v>
      </c>
      <c r="H308" s="9" t="s">
        <v>48</v>
      </c>
      <c r="I308" s="6"/>
    </row>
    <row r="309" spans="1:9">
      <c r="A309" s="4">
        <v>308</v>
      </c>
      <c r="B309" s="14">
        <v>14</v>
      </c>
      <c r="C309" s="6" t="s">
        <v>72</v>
      </c>
      <c r="D309" s="12" t="s">
        <v>729</v>
      </c>
      <c r="E309" s="6" t="s">
        <v>23</v>
      </c>
      <c r="F309" s="12" t="s">
        <v>730</v>
      </c>
      <c r="G309" s="8" t="s">
        <v>731</v>
      </c>
      <c r="H309" s="9" t="s">
        <v>48</v>
      </c>
      <c r="I309" s="6"/>
    </row>
    <row r="310" spans="1:9">
      <c r="A310" s="4">
        <v>309</v>
      </c>
      <c r="B310" s="14">
        <v>14</v>
      </c>
      <c r="C310" s="6" t="s">
        <v>72</v>
      </c>
      <c r="D310" s="12" t="s">
        <v>732</v>
      </c>
      <c r="E310" s="6" t="s">
        <v>23</v>
      </c>
      <c r="F310" s="12" t="s">
        <v>733</v>
      </c>
      <c r="G310" s="8" t="s">
        <v>689</v>
      </c>
      <c r="H310" s="9" t="s">
        <v>48</v>
      </c>
      <c r="I310" s="6"/>
    </row>
    <row r="311" spans="1:9">
      <c r="A311" s="4">
        <v>310</v>
      </c>
      <c r="B311" s="14">
        <v>14</v>
      </c>
      <c r="C311" s="6" t="s">
        <v>72</v>
      </c>
      <c r="D311" s="6" t="s">
        <v>734</v>
      </c>
      <c r="E311" s="6" t="s">
        <v>23</v>
      </c>
      <c r="F311" s="12" t="s">
        <v>735</v>
      </c>
      <c r="G311" s="8" t="s">
        <v>736</v>
      </c>
      <c r="H311" s="9" t="s">
        <v>48</v>
      </c>
      <c r="I311" s="6"/>
    </row>
    <row r="312" spans="1:9">
      <c r="A312" s="4">
        <v>311</v>
      </c>
      <c r="B312" s="14">
        <v>11</v>
      </c>
      <c r="C312" s="6" t="s">
        <v>91</v>
      </c>
      <c r="D312" s="12" t="s">
        <v>737</v>
      </c>
      <c r="E312" s="6" t="s">
        <v>23</v>
      </c>
      <c r="F312" s="12" t="s">
        <v>738</v>
      </c>
      <c r="G312" s="8" t="s">
        <v>739</v>
      </c>
      <c r="H312" s="9" t="s">
        <v>34</v>
      </c>
      <c r="I312" s="6"/>
    </row>
    <row r="313" spans="1:9">
      <c r="A313" s="4">
        <v>312</v>
      </c>
      <c r="B313" s="14">
        <v>6.13</v>
      </c>
      <c r="C313" s="6" t="s">
        <v>740</v>
      </c>
      <c r="D313" s="12" t="s">
        <v>741</v>
      </c>
      <c r="E313" s="6" t="s">
        <v>12</v>
      </c>
      <c r="F313" s="12" t="s">
        <v>742</v>
      </c>
      <c r="G313" s="8" t="s">
        <v>743</v>
      </c>
      <c r="H313" s="9" t="s">
        <v>94</v>
      </c>
      <c r="I313" s="6"/>
    </row>
    <row r="314" spans="1:9">
      <c r="A314" s="4">
        <v>313</v>
      </c>
      <c r="B314" s="14">
        <v>5.9</v>
      </c>
      <c r="C314" s="6" t="s">
        <v>31</v>
      </c>
      <c r="D314" s="12" t="s">
        <v>744</v>
      </c>
      <c r="E314" s="6" t="s">
        <v>12</v>
      </c>
      <c r="F314" s="12" t="s">
        <v>742</v>
      </c>
      <c r="G314" s="8" t="s">
        <v>745</v>
      </c>
      <c r="H314" s="9" t="s">
        <v>87</v>
      </c>
      <c r="I314" s="6"/>
    </row>
    <row r="315" spans="1:9">
      <c r="A315" s="4">
        <v>314</v>
      </c>
      <c r="B315" s="14">
        <v>5</v>
      </c>
      <c r="C315" s="6" t="s">
        <v>132</v>
      </c>
      <c r="D315" s="12" t="s">
        <v>746</v>
      </c>
      <c r="E315" s="6"/>
      <c r="F315" s="12" t="s">
        <v>747</v>
      </c>
      <c r="G315" s="8" t="s">
        <v>748</v>
      </c>
      <c r="H315" s="9" t="s">
        <v>87</v>
      </c>
      <c r="I315" s="6"/>
    </row>
    <row r="316" spans="1:9">
      <c r="A316" s="17"/>
      <c r="E316" s="11"/>
      <c r="G316" s="18"/>
      <c r="H316" s="11"/>
    </row>
    <row r="317" spans="1:9">
      <c r="A317" s="17"/>
      <c r="E317" s="11"/>
      <c r="G317" s="18"/>
      <c r="H317" s="11"/>
    </row>
    <row r="318" spans="1:9">
      <c r="A318" s="17"/>
      <c r="E318" s="11"/>
      <c r="G318" s="18"/>
      <c r="H318" s="11"/>
    </row>
    <row r="319" spans="1:9">
      <c r="A319" s="17"/>
      <c r="E319" s="11"/>
      <c r="G319" s="18"/>
      <c r="H319" s="11"/>
    </row>
    <row r="320" spans="1:9">
      <c r="A320" s="17"/>
      <c r="E320" s="11"/>
      <c r="G320" s="18"/>
      <c r="H320" s="11"/>
    </row>
    <row r="321" spans="1:8">
      <c r="A321" s="17"/>
      <c r="E321" s="11"/>
      <c r="G321" s="18"/>
      <c r="H321" s="11"/>
    </row>
    <row r="322" spans="1:8">
      <c r="A322" s="17"/>
      <c r="E322" s="11"/>
      <c r="G322" s="18"/>
      <c r="H322" s="11"/>
    </row>
    <row r="323" spans="1:8">
      <c r="A323" s="17"/>
      <c r="E323" s="11"/>
      <c r="G323" s="18"/>
      <c r="H323" s="11"/>
    </row>
    <row r="324" spans="1:8">
      <c r="A324" s="17"/>
      <c r="E324" s="11"/>
      <c r="G324" s="18"/>
      <c r="H324" s="11"/>
    </row>
    <row r="325" spans="1:8">
      <c r="A325" s="17"/>
      <c r="E325" s="11"/>
      <c r="G325" s="18"/>
      <c r="H325" s="11"/>
    </row>
    <row r="326" spans="1:8">
      <c r="A326" s="17"/>
      <c r="E326" s="11"/>
      <c r="G326" s="18"/>
      <c r="H326" s="11"/>
    </row>
    <row r="327" spans="1:8">
      <c r="A327" s="17"/>
      <c r="E327" s="11"/>
      <c r="G327" s="18"/>
      <c r="H327" s="11"/>
    </row>
    <row r="328" spans="1:8">
      <c r="A328" s="17"/>
      <c r="E328" s="11"/>
      <c r="G328" s="18"/>
      <c r="H328" s="11"/>
    </row>
    <row r="329" spans="1:8">
      <c r="A329" s="17"/>
      <c r="E329" s="11"/>
      <c r="G329" s="18"/>
      <c r="H329" s="11"/>
    </row>
    <row r="330" spans="1:8">
      <c r="A330" s="17"/>
      <c r="E330" s="11"/>
      <c r="G330" s="18"/>
      <c r="H330" s="11"/>
    </row>
    <row r="331" spans="1:8">
      <c r="A331" s="17"/>
      <c r="E331" s="11"/>
      <c r="G331" s="18"/>
      <c r="H331" s="11"/>
    </row>
    <row r="332" spans="1:8">
      <c r="A332" s="17"/>
      <c r="E332" s="11"/>
      <c r="G332" s="18"/>
      <c r="H332" s="11"/>
    </row>
    <row r="333" spans="1:8">
      <c r="A333" s="17"/>
      <c r="E333" s="11"/>
      <c r="G333" s="18"/>
      <c r="H333" s="11"/>
    </row>
    <row r="334" spans="1:8">
      <c r="A334" s="17"/>
      <c r="E334" s="11"/>
      <c r="G334" s="18"/>
      <c r="H334" s="11"/>
    </row>
    <row r="335" spans="1:8">
      <c r="A335" s="17"/>
      <c r="E335" s="11"/>
      <c r="G335" s="18"/>
      <c r="H335" s="11"/>
    </row>
    <row r="336" spans="1:8">
      <c r="A336" s="17"/>
      <c r="E336" s="11"/>
      <c r="G336" s="18"/>
      <c r="H336" s="11"/>
    </row>
    <row r="337" spans="1:8">
      <c r="A337" s="17"/>
      <c r="E337" s="11"/>
      <c r="G337" s="18"/>
      <c r="H337" s="11"/>
    </row>
    <row r="338" spans="1:8">
      <c r="A338" s="17"/>
      <c r="E338" s="11"/>
      <c r="G338" s="18"/>
      <c r="H338" s="11"/>
    </row>
    <row r="339" spans="1:8">
      <c r="A339" s="17"/>
      <c r="E339" s="11"/>
      <c r="G339" s="18"/>
      <c r="H339" s="11"/>
    </row>
    <row r="340" spans="1:8">
      <c r="A340" s="17"/>
      <c r="E340" s="11"/>
      <c r="G340" s="18"/>
      <c r="H340" s="11"/>
    </row>
    <row r="341" spans="1:8">
      <c r="A341" s="17"/>
      <c r="E341" s="11"/>
      <c r="G341" s="18"/>
      <c r="H341" s="11"/>
    </row>
    <row r="342" spans="1:8">
      <c r="A342" s="17"/>
      <c r="E342" s="11"/>
      <c r="G342" s="18"/>
      <c r="H342" s="11"/>
    </row>
    <row r="343" spans="1:8">
      <c r="A343" s="17"/>
      <c r="E343" s="11"/>
      <c r="G343" s="18"/>
      <c r="H343" s="11"/>
    </row>
    <row r="344" spans="1:8">
      <c r="A344" s="17"/>
      <c r="E344" s="11"/>
      <c r="G344" s="18"/>
      <c r="H344" s="11"/>
    </row>
    <row r="345" spans="1:8">
      <c r="A345" s="17"/>
      <c r="E345" s="11"/>
      <c r="G345" s="18"/>
      <c r="H345" s="11"/>
    </row>
    <row r="346" spans="1:8">
      <c r="A346" s="17"/>
      <c r="E346" s="11"/>
      <c r="G346" s="18"/>
      <c r="H346" s="11"/>
    </row>
    <row r="347" spans="1:8">
      <c r="A347" s="17"/>
      <c r="E347" s="11"/>
      <c r="G347" s="18"/>
      <c r="H347" s="11"/>
    </row>
    <row r="348" spans="1:8">
      <c r="A348" s="17"/>
      <c r="E348" s="11"/>
      <c r="G348" s="18"/>
      <c r="H348" s="11"/>
    </row>
    <row r="349" spans="1:8">
      <c r="A349" s="17"/>
      <c r="E349" s="11"/>
      <c r="G349" s="18"/>
      <c r="H349" s="11"/>
    </row>
    <row r="350" spans="1:8">
      <c r="A350" s="17"/>
      <c r="E350" s="11"/>
      <c r="G350" s="18"/>
      <c r="H350" s="11"/>
    </row>
    <row r="351" spans="1:8">
      <c r="A351" s="17"/>
      <c r="E351" s="11"/>
      <c r="G351" s="18"/>
      <c r="H351" s="11"/>
    </row>
    <row r="352" spans="1:8">
      <c r="A352" s="17"/>
      <c r="E352" s="11"/>
      <c r="G352" s="18"/>
      <c r="H352" s="11"/>
    </row>
    <row r="353" spans="1:8">
      <c r="A353" s="17"/>
      <c r="E353" s="11"/>
      <c r="G353" s="18"/>
      <c r="H353" s="11"/>
    </row>
    <row r="354" spans="1:8">
      <c r="A354" s="17"/>
      <c r="E354" s="11"/>
      <c r="G354" s="18"/>
      <c r="H354" s="11"/>
    </row>
    <row r="355" spans="1:8">
      <c r="A355" s="17"/>
      <c r="E355" s="11"/>
      <c r="G355" s="18"/>
      <c r="H355" s="11"/>
    </row>
    <row r="356" spans="1:8">
      <c r="A356" s="17"/>
      <c r="E356" s="11"/>
      <c r="G356" s="18"/>
      <c r="H356" s="11"/>
    </row>
    <row r="357" spans="1:8">
      <c r="A357" s="17"/>
      <c r="E357" s="11"/>
      <c r="G357" s="18"/>
      <c r="H357" s="11"/>
    </row>
    <row r="358" spans="1:8">
      <c r="A358" s="17"/>
      <c r="E358" s="11"/>
      <c r="G358" s="18"/>
      <c r="H358" s="11"/>
    </row>
    <row r="359" spans="1:8">
      <c r="A359" s="17"/>
      <c r="E359" s="11"/>
      <c r="G359" s="18"/>
      <c r="H359" s="11"/>
    </row>
    <row r="360" spans="1:8">
      <c r="A360" s="17"/>
      <c r="E360" s="11"/>
      <c r="G360" s="18"/>
      <c r="H360" s="11"/>
    </row>
    <row r="361" spans="1:8">
      <c r="A361" s="17"/>
      <c r="E361" s="11"/>
      <c r="G361" s="18"/>
      <c r="H361" s="11"/>
    </row>
    <row r="362" spans="1:8">
      <c r="A362" s="17"/>
      <c r="E362" s="11"/>
      <c r="G362" s="18"/>
      <c r="H362" s="11"/>
    </row>
    <row r="363" spans="1:8">
      <c r="A363" s="17"/>
      <c r="E363" s="11"/>
      <c r="G363" s="18"/>
      <c r="H363" s="11"/>
    </row>
    <row r="364" spans="1:8">
      <c r="A364" s="17"/>
      <c r="E364" s="11"/>
      <c r="G364" s="18"/>
      <c r="H364" s="11"/>
    </row>
    <row r="365" spans="1:8">
      <c r="A365" s="17"/>
      <c r="E365" s="11"/>
      <c r="G365" s="18"/>
      <c r="H365" s="11"/>
    </row>
    <row r="366" spans="1:8">
      <c r="A366" s="17"/>
      <c r="E366" s="11"/>
      <c r="G366" s="18"/>
      <c r="H366" s="11"/>
    </row>
    <row r="367" spans="1:8">
      <c r="A367" s="17"/>
      <c r="E367" s="11"/>
      <c r="G367" s="18"/>
      <c r="H367" s="11"/>
    </row>
    <row r="368" spans="1:8">
      <c r="A368" s="17"/>
      <c r="E368" s="11"/>
      <c r="G368" s="18"/>
      <c r="H368" s="11"/>
    </row>
    <row r="369" spans="1:8">
      <c r="A369" s="17"/>
      <c r="E369" s="11"/>
      <c r="G369" s="18"/>
      <c r="H369" s="11"/>
    </row>
    <row r="370" spans="1:8">
      <c r="A370" s="17"/>
      <c r="E370" s="11"/>
      <c r="G370" s="18"/>
      <c r="H370" s="11"/>
    </row>
    <row r="371" spans="1:8">
      <c r="A371" s="17"/>
      <c r="E371" s="11"/>
      <c r="G371" s="18"/>
      <c r="H371" s="11"/>
    </row>
    <row r="372" spans="1:8">
      <c r="A372" s="17"/>
      <c r="E372" s="11"/>
      <c r="G372" s="18"/>
      <c r="H372" s="11"/>
    </row>
    <row r="373" spans="1:8">
      <c r="A373" s="17"/>
      <c r="E373" s="11"/>
      <c r="G373" s="18"/>
      <c r="H373" s="11"/>
    </row>
    <row r="374" spans="1:8">
      <c r="A374" s="17"/>
      <c r="E374" s="11"/>
      <c r="G374" s="18"/>
      <c r="H374" s="11"/>
    </row>
    <row r="375" spans="1:8">
      <c r="A375" s="17"/>
      <c r="E375" s="11"/>
      <c r="G375" s="18"/>
      <c r="H375" s="11"/>
    </row>
    <row r="376" spans="1:8">
      <c r="A376" s="17"/>
      <c r="E376" s="11"/>
      <c r="G376" s="18"/>
      <c r="H376" s="11"/>
    </row>
    <row r="377" spans="1:8">
      <c r="A377" s="17"/>
      <c r="E377" s="11"/>
      <c r="G377" s="18"/>
      <c r="H377" s="11"/>
    </row>
    <row r="378" spans="1:8">
      <c r="A378" s="17"/>
      <c r="E378" s="11"/>
      <c r="G378" s="18"/>
      <c r="H378" s="11"/>
    </row>
    <row r="379" spans="1:8">
      <c r="A379" s="17"/>
      <c r="E379" s="11"/>
      <c r="G379" s="18"/>
      <c r="H379" s="11"/>
    </row>
    <row r="380" spans="1:8">
      <c r="A380" s="17"/>
      <c r="E380" s="11"/>
      <c r="G380" s="18"/>
      <c r="H380" s="11"/>
    </row>
    <row r="381" spans="1:8">
      <c r="A381" s="17"/>
      <c r="E381" s="11"/>
      <c r="G381" s="18"/>
      <c r="H381" s="11"/>
    </row>
    <row r="382" spans="1:8">
      <c r="A382" s="17"/>
      <c r="E382" s="11"/>
      <c r="G382" s="18"/>
      <c r="H382" s="11"/>
    </row>
    <row r="383" spans="1:8">
      <c r="A383" s="17"/>
      <c r="E383" s="11"/>
      <c r="G383" s="18"/>
      <c r="H383" s="11"/>
    </row>
    <row r="384" spans="1:8">
      <c r="A384" s="17"/>
      <c r="E384" s="11"/>
      <c r="G384" s="18"/>
      <c r="H384" s="11"/>
    </row>
    <row r="385" spans="1:8">
      <c r="A385" s="17"/>
      <c r="E385" s="11"/>
      <c r="G385" s="18"/>
      <c r="H385" s="11"/>
    </row>
    <row r="386" spans="1:8">
      <c r="A386" s="17"/>
      <c r="E386" s="11"/>
      <c r="G386" s="18"/>
      <c r="H386" s="11"/>
    </row>
    <row r="387" spans="1:8">
      <c r="A387" s="17"/>
      <c r="E387" s="11"/>
      <c r="G387" s="18"/>
      <c r="H387" s="11"/>
    </row>
    <row r="388" spans="1:8">
      <c r="A388" s="17"/>
      <c r="E388" s="11"/>
      <c r="G388" s="18"/>
      <c r="H388" s="11"/>
    </row>
    <row r="389" spans="1:8">
      <c r="A389" s="17"/>
      <c r="E389" s="11"/>
      <c r="G389" s="18"/>
      <c r="H389" s="11"/>
    </row>
    <row r="390" spans="1:8">
      <c r="A390" s="17"/>
      <c r="E390" s="11"/>
      <c r="G390" s="18"/>
      <c r="H390" s="11"/>
    </row>
    <row r="391" spans="1:8">
      <c r="A391" s="17"/>
      <c r="E391" s="11"/>
      <c r="G391" s="18"/>
      <c r="H391" s="11"/>
    </row>
    <row r="392" spans="1:8">
      <c r="A392" s="17"/>
      <c r="E392" s="11"/>
      <c r="G392" s="18"/>
      <c r="H392" s="11"/>
    </row>
    <row r="393" spans="1:8">
      <c r="A393" s="17"/>
      <c r="E393" s="11"/>
      <c r="G393" s="18"/>
      <c r="H393" s="11"/>
    </row>
    <row r="394" spans="1:8">
      <c r="A394" s="17"/>
      <c r="E394" s="11"/>
      <c r="G394" s="18"/>
      <c r="H394" s="11"/>
    </row>
    <row r="395" spans="1:8">
      <c r="A395" s="17"/>
      <c r="E395" s="11"/>
      <c r="G395" s="18"/>
      <c r="H395" s="11"/>
    </row>
    <row r="396" spans="1:8">
      <c r="A396" s="17"/>
      <c r="E396" s="11"/>
      <c r="G396" s="18"/>
      <c r="H396" s="11"/>
    </row>
    <row r="397" spans="1:8">
      <c r="A397" s="17"/>
      <c r="E397" s="11"/>
      <c r="G397" s="18"/>
      <c r="H397" s="11"/>
    </row>
    <row r="398" spans="1:8">
      <c r="A398" s="17"/>
      <c r="E398" s="11"/>
      <c r="G398" s="18"/>
      <c r="H398" s="11"/>
    </row>
    <row r="399" spans="1:8">
      <c r="A399" s="17"/>
      <c r="E399" s="11"/>
      <c r="G399" s="18"/>
      <c r="H399" s="11"/>
    </row>
    <row r="400" spans="1:8">
      <c r="A400" s="17"/>
      <c r="E400" s="11"/>
      <c r="G400" s="18"/>
      <c r="H400" s="11"/>
    </row>
    <row r="401" spans="1:8">
      <c r="A401" s="17"/>
      <c r="E401" s="11"/>
      <c r="G401" s="18"/>
      <c r="H401" s="11"/>
    </row>
    <row r="402" spans="1:8">
      <c r="A402" s="17"/>
      <c r="E402" s="11"/>
      <c r="G402" s="18"/>
      <c r="H402" s="11"/>
    </row>
    <row r="403" spans="1:8">
      <c r="A403" s="17"/>
      <c r="E403" s="11"/>
      <c r="G403" s="18"/>
      <c r="H403" s="11"/>
    </row>
    <row r="404" spans="1:8">
      <c r="A404" s="17"/>
      <c r="E404" s="11"/>
      <c r="G404" s="18"/>
      <c r="H404" s="11"/>
    </row>
    <row r="405" spans="1:8">
      <c r="A405" s="17"/>
      <c r="E405" s="11"/>
      <c r="G405" s="18"/>
      <c r="H405" s="11"/>
    </row>
    <row r="406" spans="1:8">
      <c r="A406" s="17"/>
      <c r="E406" s="11"/>
      <c r="G406" s="18"/>
      <c r="H406" s="11"/>
    </row>
    <row r="407" spans="1:8">
      <c r="A407" s="17"/>
      <c r="E407" s="11"/>
      <c r="G407" s="18"/>
      <c r="H407" s="11"/>
    </row>
    <row r="408" spans="1:8">
      <c r="A408" s="17"/>
      <c r="E408" s="11"/>
      <c r="G408" s="18"/>
      <c r="H408" s="11"/>
    </row>
    <row r="409" spans="1:8">
      <c r="A409" s="17"/>
      <c r="E409" s="11"/>
      <c r="G409" s="18"/>
      <c r="H409" s="11"/>
    </row>
    <row r="410" spans="1:8">
      <c r="A410" s="17"/>
      <c r="E410" s="11"/>
      <c r="G410" s="18"/>
      <c r="H410" s="11"/>
    </row>
    <row r="411" spans="1:8">
      <c r="A411" s="17"/>
      <c r="E411" s="11"/>
      <c r="G411" s="18"/>
      <c r="H411" s="11"/>
    </row>
    <row r="412" spans="1:8">
      <c r="A412" s="17"/>
      <c r="E412" s="11"/>
      <c r="G412" s="18"/>
      <c r="H412" s="11"/>
    </row>
    <row r="413" spans="1:8">
      <c r="A413" s="17"/>
      <c r="E413" s="11"/>
      <c r="G413" s="18"/>
      <c r="H413" s="11"/>
    </row>
    <row r="414" spans="1:8">
      <c r="A414" s="17"/>
      <c r="E414" s="11"/>
      <c r="G414" s="18"/>
      <c r="H414" s="11"/>
    </row>
    <row r="415" spans="1:8">
      <c r="A415" s="17"/>
      <c r="E415" s="11"/>
      <c r="G415" s="18"/>
      <c r="H415" s="11"/>
    </row>
    <row r="416" spans="1:8">
      <c r="A416" s="17"/>
      <c r="E416" s="11"/>
      <c r="G416" s="18"/>
      <c r="H416" s="11"/>
    </row>
    <row r="417" spans="1:8">
      <c r="A417" s="17"/>
      <c r="E417" s="11"/>
      <c r="G417" s="18"/>
      <c r="H417" s="11"/>
    </row>
    <row r="418" spans="1:8">
      <c r="A418" s="17"/>
      <c r="E418" s="11"/>
      <c r="G418" s="18"/>
      <c r="H418" s="11"/>
    </row>
    <row r="419" spans="1:8">
      <c r="A419" s="17"/>
      <c r="E419" s="11"/>
      <c r="G419" s="18"/>
      <c r="H419" s="11"/>
    </row>
    <row r="420" spans="1:8">
      <c r="A420" s="17"/>
      <c r="E420" s="11"/>
      <c r="G420" s="18"/>
      <c r="H420" s="11"/>
    </row>
    <row r="421" spans="1:8">
      <c r="A421" s="17"/>
      <c r="E421" s="11"/>
      <c r="G421" s="18"/>
      <c r="H421" s="11"/>
    </row>
    <row r="422" spans="1:8">
      <c r="A422" s="17"/>
      <c r="E422" s="11"/>
      <c r="G422" s="18"/>
      <c r="H422" s="11"/>
    </row>
    <row r="423" spans="1:8">
      <c r="A423" s="17"/>
      <c r="E423" s="11"/>
      <c r="G423" s="18"/>
      <c r="H423" s="11"/>
    </row>
    <row r="424" spans="1:8">
      <c r="A424" s="17"/>
      <c r="E424" s="11"/>
      <c r="G424" s="18"/>
      <c r="H424" s="11"/>
    </row>
    <row r="425" spans="1:8">
      <c r="A425" s="17"/>
      <c r="E425" s="11"/>
      <c r="G425" s="18"/>
      <c r="H425" s="11"/>
    </row>
    <row r="426" spans="1:8">
      <c r="A426" s="17"/>
      <c r="E426" s="11"/>
      <c r="G426" s="18"/>
      <c r="H426" s="11"/>
    </row>
    <row r="427" spans="1:8">
      <c r="A427" s="17"/>
      <c r="E427" s="11"/>
      <c r="G427" s="18"/>
      <c r="H427" s="11"/>
    </row>
    <row r="428" spans="1:8">
      <c r="A428" s="17"/>
      <c r="E428" s="11"/>
      <c r="G428" s="18"/>
      <c r="H428" s="11"/>
    </row>
    <row r="429" spans="1:8">
      <c r="A429" s="17"/>
      <c r="E429" s="11"/>
      <c r="G429" s="18"/>
      <c r="H429" s="11"/>
    </row>
    <row r="430" spans="1:8">
      <c r="A430" s="17"/>
      <c r="E430" s="11"/>
      <c r="G430" s="18"/>
      <c r="H430" s="11"/>
    </row>
    <row r="431" spans="1:8">
      <c r="A431" s="17"/>
      <c r="E431" s="11"/>
      <c r="G431" s="18"/>
      <c r="H431" s="11"/>
    </row>
    <row r="432" spans="1:8">
      <c r="A432" s="17"/>
      <c r="E432" s="11"/>
      <c r="G432" s="18"/>
      <c r="H432" s="11"/>
    </row>
    <row r="433" spans="1:8">
      <c r="A433" s="17"/>
      <c r="E433" s="11"/>
      <c r="G433" s="18"/>
      <c r="H433" s="11"/>
    </row>
    <row r="434" spans="1:8">
      <c r="A434" s="17"/>
      <c r="E434" s="11"/>
      <c r="G434" s="18"/>
      <c r="H434" s="11"/>
    </row>
    <row r="435" spans="1:8">
      <c r="A435" s="17"/>
      <c r="E435" s="11"/>
      <c r="G435" s="18"/>
      <c r="H435" s="11"/>
    </row>
    <row r="436" spans="1:8">
      <c r="A436" s="17"/>
      <c r="E436" s="11"/>
      <c r="G436" s="18"/>
      <c r="H436" s="11"/>
    </row>
    <row r="437" spans="1:8">
      <c r="A437" s="17"/>
      <c r="E437" s="11"/>
      <c r="G437" s="18"/>
      <c r="H437" s="11"/>
    </row>
    <row r="438" spans="1:8">
      <c r="A438" s="17"/>
      <c r="E438" s="11"/>
      <c r="G438" s="18"/>
      <c r="H438" s="11"/>
    </row>
    <row r="439" spans="1:8">
      <c r="A439" s="17"/>
      <c r="E439" s="11"/>
      <c r="G439" s="18"/>
      <c r="H439" s="11"/>
    </row>
    <row r="440" spans="1:8">
      <c r="A440" s="17"/>
      <c r="E440" s="11"/>
      <c r="G440" s="18"/>
      <c r="H440" s="11"/>
    </row>
    <row r="441" spans="1:8">
      <c r="A441" s="17"/>
      <c r="E441" s="11"/>
      <c r="G441" s="18"/>
      <c r="H441" s="11"/>
    </row>
    <row r="442" spans="1:8">
      <c r="A442" s="17"/>
      <c r="E442" s="11"/>
      <c r="G442" s="18"/>
      <c r="H442" s="11"/>
    </row>
    <row r="443" spans="1:8">
      <c r="A443" s="17"/>
      <c r="E443" s="11"/>
      <c r="G443" s="18"/>
      <c r="H443" s="11"/>
    </row>
    <row r="444" spans="1:8">
      <c r="A444" s="17"/>
      <c r="E444" s="11"/>
      <c r="G444" s="18"/>
      <c r="H444" s="11"/>
    </row>
    <row r="445" spans="1:8">
      <c r="A445" s="17"/>
      <c r="E445" s="11"/>
      <c r="G445" s="18"/>
      <c r="H445" s="11"/>
    </row>
    <row r="446" spans="1:8">
      <c r="A446" s="17"/>
      <c r="E446" s="11"/>
      <c r="G446" s="18"/>
      <c r="H446" s="11"/>
    </row>
    <row r="447" spans="1:8">
      <c r="A447" s="17"/>
      <c r="E447" s="11"/>
      <c r="G447" s="18"/>
      <c r="H447" s="11"/>
    </row>
    <row r="448" spans="1:8">
      <c r="A448" s="17"/>
      <c r="E448" s="11"/>
      <c r="G448" s="18"/>
      <c r="H448" s="11"/>
    </row>
    <row r="449" spans="1:8">
      <c r="A449" s="17"/>
      <c r="E449" s="11"/>
      <c r="G449" s="18"/>
      <c r="H449" s="11"/>
    </row>
    <row r="450" spans="1:8">
      <c r="A450" s="17"/>
      <c r="E450" s="11"/>
      <c r="G450" s="18"/>
      <c r="H450" s="11"/>
    </row>
    <row r="451" spans="1:8">
      <c r="A451" s="17"/>
      <c r="E451" s="11"/>
      <c r="G451" s="18"/>
      <c r="H451" s="11"/>
    </row>
    <row r="452" spans="1:8">
      <c r="A452" s="17"/>
      <c r="E452" s="11"/>
      <c r="G452" s="18"/>
      <c r="H452" s="11"/>
    </row>
    <row r="453" spans="1:8">
      <c r="A453" s="17"/>
      <c r="E453" s="11"/>
      <c r="G453" s="18"/>
      <c r="H453" s="11"/>
    </row>
    <row r="454" spans="1:8">
      <c r="A454" s="17"/>
      <c r="E454" s="11"/>
      <c r="G454" s="18"/>
      <c r="H454" s="11"/>
    </row>
    <row r="455" spans="1:8">
      <c r="A455" s="17"/>
      <c r="E455" s="11"/>
      <c r="G455" s="18"/>
      <c r="H455" s="11"/>
    </row>
    <row r="456" spans="1:8">
      <c r="A456" s="17"/>
      <c r="E456" s="11"/>
      <c r="G456" s="18"/>
      <c r="H456" s="11"/>
    </row>
    <row r="457" spans="1:8">
      <c r="A457" s="17"/>
      <c r="E457" s="11"/>
      <c r="G457" s="18"/>
      <c r="H457" s="11"/>
    </row>
    <row r="458" spans="1:8">
      <c r="A458" s="17"/>
      <c r="E458" s="11"/>
      <c r="G458" s="18"/>
      <c r="H458" s="11"/>
    </row>
    <row r="459" spans="1:8">
      <c r="A459" s="17"/>
      <c r="E459" s="11"/>
      <c r="G459" s="18"/>
      <c r="H459" s="11"/>
    </row>
    <row r="460" spans="1:8">
      <c r="A460" s="17"/>
      <c r="E460" s="11"/>
      <c r="G460" s="18"/>
      <c r="H460" s="11"/>
    </row>
    <row r="461" spans="1:8">
      <c r="A461" s="17"/>
      <c r="E461" s="11"/>
      <c r="G461" s="18"/>
      <c r="H461" s="11"/>
    </row>
    <row r="462" spans="1:8">
      <c r="A462" s="17"/>
      <c r="E462" s="11"/>
      <c r="G462" s="18"/>
      <c r="H462" s="11"/>
    </row>
    <row r="463" spans="1:8">
      <c r="A463" s="17"/>
      <c r="E463" s="11"/>
      <c r="G463" s="18"/>
      <c r="H463" s="11"/>
    </row>
    <row r="464" spans="1:8">
      <c r="A464" s="17"/>
      <c r="E464" s="11"/>
      <c r="G464" s="18"/>
      <c r="H464" s="11"/>
    </row>
    <row r="465" spans="1:8">
      <c r="A465" s="17"/>
      <c r="E465" s="11"/>
      <c r="G465" s="18"/>
      <c r="H465" s="11"/>
    </row>
    <row r="466" spans="1:8">
      <c r="A466" s="17"/>
      <c r="E466" s="11"/>
      <c r="G466" s="18"/>
      <c r="H466" s="11"/>
    </row>
    <row r="467" spans="1:8">
      <c r="A467" s="17"/>
      <c r="E467" s="11"/>
      <c r="G467" s="18"/>
      <c r="H467" s="11"/>
    </row>
    <row r="468" spans="1:8">
      <c r="A468" s="17"/>
      <c r="E468" s="11"/>
      <c r="G468" s="18"/>
      <c r="H468" s="11"/>
    </row>
    <row r="469" spans="1:8">
      <c r="A469" s="17"/>
      <c r="E469" s="11"/>
      <c r="G469" s="18"/>
      <c r="H469" s="11"/>
    </row>
    <row r="470" spans="1:8">
      <c r="A470" s="17"/>
      <c r="E470" s="11"/>
      <c r="G470" s="18"/>
      <c r="H470" s="11"/>
    </row>
    <row r="471" spans="1:8">
      <c r="A471" s="17"/>
      <c r="E471" s="11"/>
      <c r="G471" s="18"/>
      <c r="H471" s="11"/>
    </row>
    <row r="472" spans="1:8">
      <c r="A472" s="17"/>
      <c r="E472" s="11"/>
      <c r="G472" s="18"/>
      <c r="H472" s="11"/>
    </row>
    <row r="473" spans="1:8">
      <c r="A473" s="17"/>
      <c r="E473" s="11"/>
      <c r="G473" s="18"/>
      <c r="H473" s="11"/>
    </row>
    <row r="474" spans="1:8">
      <c r="A474" s="17"/>
      <c r="E474" s="11"/>
      <c r="G474" s="18"/>
      <c r="H474" s="11"/>
    </row>
    <row r="475" spans="1:8">
      <c r="A475" s="17"/>
      <c r="E475" s="11"/>
      <c r="G475" s="18"/>
      <c r="H475" s="11"/>
    </row>
    <row r="476" spans="1:8">
      <c r="A476" s="17"/>
      <c r="E476" s="11"/>
      <c r="G476" s="18"/>
      <c r="H476" s="11"/>
    </row>
    <row r="477" spans="1:8">
      <c r="A477" s="17"/>
      <c r="E477" s="11"/>
      <c r="G477" s="18"/>
      <c r="H477" s="11"/>
    </row>
    <row r="478" spans="1:8">
      <c r="A478" s="17"/>
      <c r="E478" s="11"/>
      <c r="G478" s="18"/>
      <c r="H478" s="11"/>
    </row>
    <row r="479" spans="1:8">
      <c r="A479" s="17"/>
      <c r="E479" s="11"/>
      <c r="G479" s="18"/>
      <c r="H479" s="11"/>
    </row>
    <row r="480" spans="1:8">
      <c r="A480" s="17"/>
      <c r="E480" s="11"/>
      <c r="G480" s="18"/>
      <c r="H480" s="11"/>
    </row>
    <row r="481" spans="1:8">
      <c r="A481" s="17"/>
      <c r="E481" s="11"/>
      <c r="G481" s="18"/>
      <c r="H481" s="11"/>
    </row>
    <row r="482" spans="1:8">
      <c r="A482" s="17"/>
      <c r="E482" s="11"/>
      <c r="G482" s="18"/>
      <c r="H482" s="11"/>
    </row>
    <row r="483" spans="1:8">
      <c r="A483" s="17"/>
      <c r="E483" s="11"/>
      <c r="G483" s="18"/>
      <c r="H483" s="11"/>
    </row>
    <row r="484" spans="1:8">
      <c r="A484" s="17"/>
      <c r="E484" s="11"/>
      <c r="G484" s="18"/>
      <c r="H484" s="11"/>
    </row>
    <row r="485" spans="1:8">
      <c r="A485" s="17"/>
      <c r="E485" s="11"/>
      <c r="G485" s="18"/>
      <c r="H485" s="11"/>
    </row>
    <row r="486" spans="1:8">
      <c r="A486" s="17"/>
      <c r="E486" s="11"/>
      <c r="G486" s="18"/>
      <c r="H486" s="11"/>
    </row>
    <row r="487" spans="1:8">
      <c r="A487" s="17"/>
      <c r="E487" s="11"/>
      <c r="G487" s="18"/>
      <c r="H487" s="11"/>
    </row>
    <row r="488" spans="1:8">
      <c r="A488" s="17"/>
      <c r="E488" s="11"/>
      <c r="G488" s="18"/>
      <c r="H488" s="11"/>
    </row>
    <row r="489" spans="1:8">
      <c r="A489" s="17"/>
      <c r="E489" s="11"/>
      <c r="G489" s="18"/>
      <c r="H489" s="11"/>
    </row>
    <row r="490" spans="1:8">
      <c r="A490" s="17"/>
      <c r="E490" s="11"/>
      <c r="G490" s="18"/>
      <c r="H490" s="11"/>
    </row>
    <row r="491" spans="1:8">
      <c r="A491" s="17"/>
      <c r="E491" s="11"/>
      <c r="G491" s="18"/>
      <c r="H491" s="11"/>
    </row>
    <row r="492" spans="1:8">
      <c r="A492" s="17"/>
      <c r="E492" s="11"/>
      <c r="G492" s="18"/>
      <c r="H492" s="11"/>
    </row>
    <row r="493" spans="1:8">
      <c r="A493" s="17"/>
      <c r="E493" s="11"/>
      <c r="G493" s="18"/>
      <c r="H493" s="11"/>
    </row>
    <row r="494" spans="1:8">
      <c r="A494" s="17"/>
      <c r="E494" s="11"/>
      <c r="G494" s="18"/>
      <c r="H494" s="11"/>
    </row>
    <row r="495" spans="1:8">
      <c r="A495" s="17"/>
      <c r="E495" s="11"/>
      <c r="G495" s="18"/>
      <c r="H495" s="11"/>
    </row>
    <row r="496" spans="1:8">
      <c r="A496" s="17"/>
      <c r="E496" s="11"/>
      <c r="G496" s="18"/>
      <c r="H496" s="11"/>
    </row>
    <row r="497" spans="1:8">
      <c r="A497" s="17"/>
      <c r="E497" s="11"/>
      <c r="G497" s="18"/>
      <c r="H497" s="11"/>
    </row>
    <row r="498" spans="1:8">
      <c r="A498" s="17"/>
      <c r="E498" s="11"/>
      <c r="G498" s="18"/>
      <c r="H498" s="11"/>
    </row>
    <row r="499" spans="1:8">
      <c r="A499" s="17"/>
      <c r="E499" s="11"/>
      <c r="G499" s="18"/>
      <c r="H499" s="11"/>
    </row>
    <row r="500" spans="1:8">
      <c r="A500" s="17"/>
      <c r="E500" s="11"/>
      <c r="G500" s="18"/>
      <c r="H500" s="11"/>
    </row>
    <row r="501" spans="1:8">
      <c r="A501" s="17"/>
      <c r="E501" s="11"/>
      <c r="G501" s="18"/>
      <c r="H501" s="11"/>
    </row>
    <row r="502" spans="1:8">
      <c r="A502" s="17"/>
      <c r="E502" s="11"/>
      <c r="G502" s="18"/>
      <c r="H502" s="11"/>
    </row>
    <row r="503" spans="1:8">
      <c r="A503" s="17"/>
      <c r="E503" s="11"/>
      <c r="G503" s="18"/>
      <c r="H503" s="11"/>
    </row>
    <row r="504" spans="1:8">
      <c r="A504" s="17"/>
      <c r="E504" s="11"/>
      <c r="G504" s="18"/>
      <c r="H504" s="11"/>
    </row>
    <row r="505" spans="1:8">
      <c r="A505" s="17"/>
      <c r="E505" s="11"/>
      <c r="G505" s="18"/>
      <c r="H505" s="11"/>
    </row>
    <row r="506" spans="1:8">
      <c r="A506" s="17"/>
      <c r="E506" s="11"/>
      <c r="G506" s="18"/>
      <c r="H506" s="11"/>
    </row>
    <row r="507" spans="1:8">
      <c r="A507" s="17"/>
      <c r="E507" s="11"/>
      <c r="G507" s="18"/>
      <c r="H507" s="11"/>
    </row>
    <row r="508" spans="1:8">
      <c r="A508" s="17"/>
      <c r="E508" s="11"/>
      <c r="G508" s="18"/>
      <c r="H508" s="11"/>
    </row>
    <row r="509" spans="1:8">
      <c r="A509" s="17"/>
      <c r="E509" s="11"/>
      <c r="G509" s="18"/>
      <c r="H509" s="11"/>
    </row>
    <row r="510" spans="1:8">
      <c r="A510" s="17"/>
      <c r="E510" s="11"/>
      <c r="G510" s="18"/>
      <c r="H510" s="11"/>
    </row>
    <row r="511" spans="1:8">
      <c r="A511" s="17"/>
      <c r="E511" s="11"/>
      <c r="G511" s="18"/>
      <c r="H511" s="11"/>
    </row>
    <row r="512" spans="1:8">
      <c r="A512" s="17"/>
      <c r="E512" s="11"/>
      <c r="G512" s="18"/>
      <c r="H512" s="11"/>
    </row>
    <row r="513" spans="1:8">
      <c r="A513" s="17"/>
      <c r="E513" s="11"/>
      <c r="G513" s="18"/>
      <c r="H513" s="11"/>
    </row>
    <row r="514" spans="1:8">
      <c r="A514" s="17"/>
      <c r="E514" s="11"/>
      <c r="G514" s="18"/>
      <c r="H514" s="11"/>
    </row>
    <row r="515" spans="1:8">
      <c r="A515" s="17"/>
      <c r="E515" s="11"/>
      <c r="G515" s="18"/>
      <c r="H515" s="11"/>
    </row>
    <row r="516" spans="1:8">
      <c r="A516" s="17"/>
      <c r="E516" s="11"/>
      <c r="G516" s="18"/>
      <c r="H516" s="11"/>
    </row>
    <row r="517" spans="1:8">
      <c r="A517" s="17"/>
      <c r="E517" s="11"/>
      <c r="G517" s="18"/>
      <c r="H517" s="11"/>
    </row>
    <row r="518" spans="1:8">
      <c r="A518" s="17"/>
      <c r="E518" s="11"/>
      <c r="G518" s="18"/>
      <c r="H518" s="11"/>
    </row>
    <row r="519" spans="1:8">
      <c r="A519" s="17"/>
      <c r="E519" s="11"/>
      <c r="G519" s="18"/>
      <c r="H519" s="11"/>
    </row>
    <row r="520" spans="1:8">
      <c r="A520" s="17"/>
      <c r="E520" s="11"/>
      <c r="G520" s="18"/>
      <c r="H520" s="11"/>
    </row>
    <row r="521" spans="1:8">
      <c r="A521" s="17"/>
      <c r="E521" s="11"/>
      <c r="G521" s="18"/>
      <c r="H521" s="11"/>
    </row>
    <row r="522" spans="1:8">
      <c r="A522" s="17"/>
      <c r="E522" s="11"/>
      <c r="G522" s="18"/>
      <c r="H522" s="11"/>
    </row>
    <row r="523" spans="1:8">
      <c r="A523" s="17"/>
      <c r="E523" s="11"/>
      <c r="G523" s="18"/>
      <c r="H523" s="11"/>
    </row>
    <row r="524" spans="1:8">
      <c r="A524" s="17"/>
      <c r="E524" s="11"/>
      <c r="G524" s="18"/>
      <c r="H524" s="11"/>
    </row>
    <row r="525" spans="1:8">
      <c r="A525" s="17"/>
      <c r="E525" s="11"/>
      <c r="G525" s="18"/>
      <c r="H525" s="11"/>
    </row>
    <row r="526" spans="1:8">
      <c r="A526" s="17"/>
      <c r="E526" s="11"/>
      <c r="G526" s="18"/>
      <c r="H526" s="11"/>
    </row>
    <row r="527" spans="1:8">
      <c r="A527" s="17"/>
      <c r="E527" s="11"/>
      <c r="G527" s="18"/>
      <c r="H527" s="11"/>
    </row>
    <row r="528" spans="1:8">
      <c r="A528" s="17"/>
      <c r="E528" s="11"/>
      <c r="G528" s="18"/>
      <c r="H528" s="11"/>
    </row>
    <row r="529" spans="1:8">
      <c r="A529" s="17"/>
      <c r="E529" s="11"/>
      <c r="G529" s="18"/>
      <c r="H529" s="11"/>
    </row>
    <row r="530" spans="1:8">
      <c r="A530" s="17"/>
      <c r="E530" s="11"/>
      <c r="G530" s="18"/>
      <c r="H530" s="11"/>
    </row>
    <row r="531" spans="1:8">
      <c r="A531" s="17"/>
      <c r="E531" s="11"/>
      <c r="G531" s="18"/>
      <c r="H531" s="11"/>
    </row>
    <row r="532" spans="1:8">
      <c r="A532" s="17"/>
      <c r="E532" s="11"/>
      <c r="G532" s="18"/>
      <c r="H532" s="11"/>
    </row>
    <row r="533" spans="1:8">
      <c r="A533" s="17"/>
      <c r="E533" s="11"/>
      <c r="G533" s="18"/>
      <c r="H533" s="11"/>
    </row>
    <row r="534" spans="1:8">
      <c r="A534" s="17"/>
      <c r="E534" s="11"/>
      <c r="G534" s="18"/>
      <c r="H534" s="11"/>
    </row>
    <row r="535" spans="1:8">
      <c r="A535" s="17"/>
      <c r="E535" s="11"/>
      <c r="G535" s="18"/>
      <c r="H535" s="11"/>
    </row>
    <row r="536" spans="1:8">
      <c r="A536" s="17"/>
      <c r="E536" s="11"/>
      <c r="G536" s="18"/>
      <c r="H536" s="11"/>
    </row>
    <row r="537" spans="1:8">
      <c r="A537" s="17"/>
      <c r="E537" s="11"/>
      <c r="G537" s="18"/>
      <c r="H537" s="11"/>
    </row>
    <row r="538" spans="1:8">
      <c r="A538" s="17"/>
      <c r="E538" s="11"/>
      <c r="G538" s="18"/>
      <c r="H538" s="11"/>
    </row>
    <row r="539" spans="1:8">
      <c r="A539" s="17"/>
      <c r="E539" s="11"/>
      <c r="G539" s="18"/>
      <c r="H539" s="11"/>
    </row>
    <row r="540" spans="1:8">
      <c r="A540" s="17"/>
      <c r="E540" s="11"/>
      <c r="G540" s="18"/>
      <c r="H540" s="11"/>
    </row>
    <row r="541" spans="1:8">
      <c r="A541" s="17"/>
      <c r="E541" s="11"/>
      <c r="G541" s="18"/>
      <c r="H541" s="11"/>
    </row>
    <row r="542" spans="1:8">
      <c r="A542" s="17"/>
      <c r="E542" s="11"/>
      <c r="G542" s="18"/>
      <c r="H542" s="11"/>
    </row>
    <row r="543" spans="1:8">
      <c r="A543" s="17"/>
      <c r="E543" s="11"/>
      <c r="G543" s="18"/>
      <c r="H543" s="11"/>
    </row>
    <row r="544" spans="1:8">
      <c r="A544" s="17"/>
      <c r="E544" s="11"/>
      <c r="G544" s="18"/>
      <c r="H544" s="11"/>
    </row>
    <row r="545" spans="1:8">
      <c r="A545" s="17"/>
      <c r="E545" s="11"/>
      <c r="G545" s="18"/>
      <c r="H545" s="11"/>
    </row>
    <row r="546" spans="1:8">
      <c r="A546" s="17"/>
      <c r="E546" s="11"/>
      <c r="G546" s="18"/>
      <c r="H546" s="11"/>
    </row>
    <row r="547" spans="1:8">
      <c r="A547" s="17"/>
      <c r="E547" s="11"/>
      <c r="G547" s="18"/>
      <c r="H547" s="11"/>
    </row>
    <row r="548" spans="1:8">
      <c r="A548" s="17"/>
      <c r="E548" s="11"/>
      <c r="G548" s="18"/>
      <c r="H548" s="11"/>
    </row>
    <row r="549" spans="1:8">
      <c r="A549" s="17"/>
      <c r="E549" s="11"/>
      <c r="G549" s="18"/>
      <c r="H549" s="11"/>
    </row>
    <row r="550" spans="1:8">
      <c r="A550" s="17"/>
      <c r="E550" s="11"/>
      <c r="G550" s="18"/>
      <c r="H550" s="11"/>
    </row>
    <row r="551" spans="1:8">
      <c r="A551" s="17"/>
      <c r="E551" s="11"/>
      <c r="G551" s="18"/>
      <c r="H551" s="11"/>
    </row>
    <row r="552" spans="1:8">
      <c r="A552" s="17"/>
      <c r="E552" s="11"/>
      <c r="G552" s="18"/>
      <c r="H552" s="11"/>
    </row>
    <row r="553" spans="1:8">
      <c r="A553" s="17"/>
      <c r="E553" s="11"/>
      <c r="G553" s="18"/>
      <c r="H553" s="11"/>
    </row>
    <row r="554" spans="1:8">
      <c r="A554" s="17"/>
      <c r="E554" s="11"/>
      <c r="G554" s="18"/>
      <c r="H554" s="11"/>
    </row>
    <row r="555" spans="1:8">
      <c r="A555" s="17"/>
      <c r="E555" s="11"/>
      <c r="G555" s="18"/>
      <c r="H555" s="11"/>
    </row>
    <row r="556" spans="1:8">
      <c r="A556" s="17"/>
      <c r="E556" s="11"/>
      <c r="G556" s="18"/>
      <c r="H556" s="11"/>
    </row>
    <row r="557" spans="1:8">
      <c r="A557" s="17"/>
      <c r="E557" s="11"/>
      <c r="G557" s="18"/>
      <c r="H557" s="11"/>
    </row>
    <row r="558" spans="1:8">
      <c r="A558" s="17"/>
      <c r="E558" s="11"/>
      <c r="G558" s="18"/>
      <c r="H558" s="11"/>
    </row>
    <row r="559" spans="1:8">
      <c r="A559" s="17"/>
      <c r="E559" s="11"/>
      <c r="G559" s="18"/>
      <c r="H559" s="11"/>
    </row>
    <row r="560" spans="1:8">
      <c r="A560" s="17"/>
      <c r="E560" s="11"/>
      <c r="G560" s="18"/>
      <c r="H560" s="11"/>
    </row>
    <row r="561" spans="1:8">
      <c r="A561" s="17"/>
      <c r="E561" s="11"/>
      <c r="G561" s="18"/>
      <c r="H561" s="11"/>
    </row>
    <row r="562" spans="1:8">
      <c r="A562" s="17"/>
      <c r="E562" s="11"/>
      <c r="G562" s="18"/>
      <c r="H562" s="11"/>
    </row>
    <row r="563" spans="1:8">
      <c r="A563" s="17"/>
      <c r="E563" s="11"/>
      <c r="G563" s="18"/>
      <c r="H563" s="11"/>
    </row>
    <row r="564" spans="1:8">
      <c r="A564" s="17"/>
      <c r="E564" s="11"/>
      <c r="G564" s="18"/>
      <c r="H564" s="11"/>
    </row>
    <row r="565" spans="1:8">
      <c r="A565" s="17"/>
      <c r="E565" s="11"/>
      <c r="G565" s="18"/>
      <c r="H565" s="11"/>
    </row>
    <row r="566" spans="1:8">
      <c r="A566" s="17"/>
      <c r="E566" s="11"/>
      <c r="G566" s="18"/>
      <c r="H566" s="11"/>
    </row>
    <row r="567" spans="1:8">
      <c r="A567" s="17"/>
      <c r="E567" s="11"/>
      <c r="G567" s="18"/>
      <c r="H567" s="11"/>
    </row>
    <row r="568" spans="1:8">
      <c r="A568" s="17"/>
      <c r="E568" s="11"/>
      <c r="G568" s="18"/>
      <c r="H568" s="11"/>
    </row>
    <row r="569" spans="1:8">
      <c r="A569" s="17"/>
      <c r="E569" s="11"/>
      <c r="G569" s="18"/>
      <c r="H569" s="11"/>
    </row>
    <row r="570" spans="1:8">
      <c r="A570" s="17"/>
      <c r="E570" s="11"/>
      <c r="G570" s="18"/>
      <c r="H570" s="11"/>
    </row>
    <row r="571" spans="1:8">
      <c r="A571" s="17"/>
      <c r="E571" s="11"/>
      <c r="G571" s="18"/>
      <c r="H571" s="11"/>
    </row>
    <row r="572" spans="1:8">
      <c r="A572" s="17"/>
      <c r="E572" s="11"/>
      <c r="G572" s="18"/>
      <c r="H572" s="11"/>
    </row>
    <row r="573" spans="1:8">
      <c r="A573" s="17"/>
      <c r="E573" s="11"/>
      <c r="G573" s="18"/>
      <c r="H573" s="11"/>
    </row>
    <row r="574" spans="1:8">
      <c r="A574" s="17"/>
      <c r="E574" s="11"/>
      <c r="G574" s="18"/>
      <c r="H574" s="11"/>
    </row>
    <row r="575" spans="1:8">
      <c r="A575" s="17"/>
      <c r="E575" s="11"/>
      <c r="G575" s="18"/>
      <c r="H575" s="11"/>
    </row>
    <row r="576" spans="1:8">
      <c r="A576" s="17"/>
      <c r="E576" s="11"/>
      <c r="G576" s="18"/>
      <c r="H576" s="11"/>
    </row>
    <row r="577" spans="1:8">
      <c r="A577" s="17"/>
      <c r="E577" s="11"/>
      <c r="G577" s="18"/>
      <c r="H577" s="11"/>
    </row>
    <row r="578" spans="1:8">
      <c r="A578" s="17"/>
      <c r="E578" s="11"/>
      <c r="G578" s="18"/>
      <c r="H578" s="11"/>
    </row>
    <row r="579" spans="1:8">
      <c r="A579" s="17"/>
      <c r="E579" s="11"/>
      <c r="G579" s="18"/>
      <c r="H579" s="11"/>
    </row>
    <row r="580" spans="1:8">
      <c r="A580" s="17"/>
      <c r="E580" s="11"/>
      <c r="G580" s="18"/>
      <c r="H580" s="11"/>
    </row>
    <row r="581" spans="1:8">
      <c r="A581" s="17"/>
      <c r="E581" s="11"/>
      <c r="G581" s="18"/>
      <c r="H581" s="11"/>
    </row>
    <row r="582" spans="1:8">
      <c r="A582" s="17"/>
      <c r="E582" s="11"/>
      <c r="G582" s="18"/>
      <c r="H582" s="11"/>
    </row>
    <row r="583" spans="1:8">
      <c r="A583" s="17"/>
      <c r="E583" s="11"/>
      <c r="G583" s="18"/>
      <c r="H583" s="11"/>
    </row>
    <row r="584" spans="1:8">
      <c r="A584" s="17"/>
      <c r="E584" s="11"/>
      <c r="G584" s="18"/>
      <c r="H584" s="11"/>
    </row>
    <row r="585" spans="1:8">
      <c r="A585" s="17"/>
      <c r="E585" s="11"/>
      <c r="G585" s="18"/>
      <c r="H585" s="11"/>
    </row>
    <row r="586" spans="1:8">
      <c r="A586" s="17"/>
      <c r="E586" s="11"/>
      <c r="G586" s="18"/>
      <c r="H586" s="11"/>
    </row>
    <row r="587" spans="1:8">
      <c r="A587" s="17"/>
      <c r="E587" s="11"/>
      <c r="G587" s="18"/>
      <c r="H587" s="11"/>
    </row>
    <row r="588" spans="1:8">
      <c r="A588" s="17"/>
      <c r="E588" s="11"/>
      <c r="G588" s="18"/>
      <c r="H588" s="11"/>
    </row>
    <row r="589" spans="1:8">
      <c r="A589" s="17"/>
      <c r="E589" s="11"/>
      <c r="G589" s="18"/>
      <c r="H589" s="11"/>
    </row>
    <row r="590" spans="1:8">
      <c r="A590" s="17"/>
      <c r="E590" s="11"/>
      <c r="G590" s="18"/>
      <c r="H590" s="11"/>
    </row>
    <row r="591" spans="1:8">
      <c r="A591" s="17"/>
      <c r="E591" s="11"/>
      <c r="G591" s="18"/>
      <c r="H591" s="11"/>
    </row>
    <row r="592" spans="1:8">
      <c r="A592" s="17"/>
      <c r="E592" s="11"/>
      <c r="G592" s="18"/>
      <c r="H592" s="11"/>
    </row>
    <row r="593" spans="1:8">
      <c r="A593" s="17"/>
      <c r="E593" s="11"/>
      <c r="G593" s="18"/>
      <c r="H593" s="11"/>
    </row>
    <row r="594" spans="1:8">
      <c r="A594" s="17"/>
      <c r="E594" s="11"/>
      <c r="G594" s="18"/>
      <c r="H594" s="11"/>
    </row>
    <row r="595" spans="1:8">
      <c r="A595" s="17"/>
      <c r="E595" s="11"/>
      <c r="G595" s="18"/>
      <c r="H595" s="11"/>
    </row>
    <row r="596" spans="1:8">
      <c r="A596" s="17"/>
      <c r="E596" s="11"/>
      <c r="G596" s="18"/>
      <c r="H596" s="11"/>
    </row>
    <row r="597" spans="1:8">
      <c r="A597" s="17"/>
      <c r="E597" s="11"/>
      <c r="G597" s="18"/>
      <c r="H597" s="11"/>
    </row>
    <row r="598" spans="1:8">
      <c r="A598" s="17"/>
      <c r="E598" s="11"/>
      <c r="G598" s="18"/>
      <c r="H598" s="11"/>
    </row>
    <row r="599" spans="1:8">
      <c r="A599" s="17"/>
      <c r="E599" s="11"/>
      <c r="G599" s="18"/>
      <c r="H599" s="11"/>
    </row>
    <row r="600" spans="1:8">
      <c r="A600" s="17"/>
      <c r="E600" s="11"/>
      <c r="G600" s="18"/>
      <c r="H600" s="11"/>
    </row>
    <row r="601" spans="1:8">
      <c r="A601" s="17"/>
      <c r="E601" s="11"/>
      <c r="G601" s="18"/>
      <c r="H601" s="11"/>
    </row>
    <row r="602" spans="1:8">
      <c r="A602" s="17"/>
      <c r="E602" s="11"/>
      <c r="G602" s="18"/>
      <c r="H602" s="11"/>
    </row>
    <row r="603" spans="1:8">
      <c r="A603" s="17"/>
      <c r="E603" s="11"/>
      <c r="G603" s="18"/>
      <c r="H603" s="11"/>
    </row>
    <row r="604" spans="1:8">
      <c r="A604" s="17"/>
      <c r="E604" s="11"/>
      <c r="G604" s="18"/>
      <c r="H604" s="11"/>
    </row>
    <row r="605" spans="1:8">
      <c r="A605" s="17"/>
      <c r="E605" s="11"/>
      <c r="G605" s="18"/>
      <c r="H605" s="11"/>
    </row>
    <row r="606" spans="1:8">
      <c r="A606" s="17"/>
      <c r="E606" s="11"/>
      <c r="G606" s="18"/>
      <c r="H606" s="11"/>
    </row>
    <row r="607" spans="1:8">
      <c r="A607" s="17"/>
      <c r="E607" s="11"/>
      <c r="G607" s="18"/>
      <c r="H607" s="11"/>
    </row>
    <row r="608" spans="1:8">
      <c r="A608" s="17"/>
      <c r="E608" s="11"/>
      <c r="G608" s="18"/>
      <c r="H608" s="11"/>
    </row>
    <row r="609" spans="1:8">
      <c r="A609" s="17"/>
      <c r="E609" s="11"/>
      <c r="G609" s="18"/>
      <c r="H609" s="11"/>
    </row>
    <row r="610" spans="1:8">
      <c r="A610" s="17"/>
      <c r="E610" s="11"/>
      <c r="G610" s="18"/>
      <c r="H610" s="11"/>
    </row>
    <row r="611" spans="1:8">
      <c r="A611" s="17"/>
      <c r="E611" s="11"/>
      <c r="G611" s="18"/>
      <c r="H611" s="11"/>
    </row>
    <row r="612" spans="1:8">
      <c r="A612" s="17"/>
      <c r="E612" s="11"/>
      <c r="G612" s="18"/>
      <c r="H612" s="11"/>
    </row>
    <row r="613" spans="1:8">
      <c r="A613" s="17"/>
      <c r="E613" s="11"/>
      <c r="G613" s="18"/>
      <c r="H613" s="11"/>
    </row>
    <row r="614" spans="1:8">
      <c r="A614" s="17"/>
      <c r="E614" s="11"/>
      <c r="G614" s="18"/>
      <c r="H614" s="11"/>
    </row>
    <row r="615" spans="1:8">
      <c r="A615" s="17"/>
      <c r="E615" s="11"/>
      <c r="G615" s="18"/>
      <c r="H615" s="11"/>
    </row>
    <row r="616" spans="1:8">
      <c r="A616" s="17"/>
      <c r="E616" s="11"/>
      <c r="G616" s="18"/>
      <c r="H616" s="11"/>
    </row>
    <row r="617" spans="1:8">
      <c r="A617" s="17"/>
      <c r="E617" s="11"/>
      <c r="G617" s="18"/>
      <c r="H617" s="11"/>
    </row>
    <row r="618" spans="1:8">
      <c r="A618" s="17"/>
      <c r="E618" s="11"/>
      <c r="G618" s="18"/>
      <c r="H618" s="11"/>
    </row>
    <row r="619" spans="1:8">
      <c r="A619" s="17"/>
      <c r="E619" s="11"/>
      <c r="G619" s="18"/>
      <c r="H619" s="11"/>
    </row>
    <row r="620" spans="1:8">
      <c r="A620" s="17"/>
      <c r="E620" s="11"/>
      <c r="G620" s="18"/>
      <c r="H620" s="11"/>
    </row>
    <row r="621" spans="1:8">
      <c r="A621" s="17"/>
      <c r="E621" s="11"/>
      <c r="G621" s="18"/>
      <c r="H621" s="11"/>
    </row>
    <row r="622" spans="1:8">
      <c r="A622" s="17"/>
      <c r="E622" s="11"/>
      <c r="G622" s="18"/>
      <c r="H622" s="11"/>
    </row>
    <row r="623" spans="1:8">
      <c r="A623" s="17"/>
      <c r="E623" s="11"/>
      <c r="G623" s="18"/>
      <c r="H623" s="11"/>
    </row>
    <row r="624" spans="1:8">
      <c r="A624" s="17"/>
      <c r="E624" s="11"/>
      <c r="G624" s="18"/>
      <c r="H624" s="11"/>
    </row>
    <row r="625" spans="1:8">
      <c r="A625" s="17"/>
      <c r="E625" s="11"/>
      <c r="G625" s="18"/>
      <c r="H625" s="11"/>
    </row>
    <row r="626" spans="1:8">
      <c r="A626" s="17"/>
      <c r="E626" s="11"/>
      <c r="G626" s="18"/>
      <c r="H626" s="11"/>
    </row>
    <row r="627" spans="1:8">
      <c r="A627" s="17"/>
      <c r="E627" s="11"/>
      <c r="G627" s="18"/>
      <c r="H627" s="11"/>
    </row>
    <row r="628" spans="1:8">
      <c r="A628" s="17"/>
      <c r="E628" s="11"/>
      <c r="G628" s="18"/>
      <c r="H628" s="11"/>
    </row>
    <row r="629" spans="1:8">
      <c r="A629" s="17"/>
      <c r="E629" s="11"/>
      <c r="G629" s="18"/>
      <c r="H629" s="11"/>
    </row>
    <row r="630" spans="1:8">
      <c r="A630" s="17"/>
      <c r="E630" s="11"/>
      <c r="G630" s="18"/>
      <c r="H630" s="11"/>
    </row>
    <row r="631" spans="1:8">
      <c r="A631" s="17"/>
      <c r="E631" s="11"/>
      <c r="G631" s="18"/>
      <c r="H631" s="11"/>
    </row>
    <row r="632" spans="1:8">
      <c r="A632" s="17"/>
      <c r="E632" s="11"/>
      <c r="G632" s="18"/>
      <c r="H632" s="11"/>
    </row>
    <row r="633" spans="1:8">
      <c r="A633" s="17"/>
      <c r="E633" s="11"/>
      <c r="G633" s="18"/>
      <c r="H633" s="11"/>
    </row>
    <row r="634" spans="1:8">
      <c r="A634" s="17"/>
      <c r="E634" s="11"/>
      <c r="G634" s="18"/>
      <c r="H634" s="11"/>
    </row>
    <row r="635" spans="1:8">
      <c r="A635" s="17"/>
      <c r="E635" s="11"/>
      <c r="G635" s="18"/>
      <c r="H635" s="11"/>
    </row>
    <row r="636" spans="1:8">
      <c r="A636" s="17"/>
      <c r="E636" s="11"/>
      <c r="G636" s="18"/>
      <c r="H636" s="11"/>
    </row>
    <row r="637" spans="1:8">
      <c r="A637" s="17"/>
      <c r="E637" s="11"/>
      <c r="G637" s="18"/>
      <c r="H637" s="11"/>
    </row>
    <row r="638" spans="1:8">
      <c r="A638" s="17"/>
      <c r="E638" s="11"/>
      <c r="G638" s="18"/>
      <c r="H638" s="11"/>
    </row>
    <row r="639" spans="1:8">
      <c r="A639" s="17"/>
      <c r="E639" s="11"/>
      <c r="G639" s="18"/>
      <c r="H639" s="11"/>
    </row>
    <row r="640" spans="1:8">
      <c r="A640" s="17"/>
      <c r="E640" s="11"/>
      <c r="G640" s="18"/>
      <c r="H640" s="11"/>
    </row>
    <row r="641" spans="1:8">
      <c r="A641" s="17"/>
      <c r="E641" s="11"/>
      <c r="G641" s="18"/>
      <c r="H641" s="11"/>
    </row>
    <row r="642" spans="1:8">
      <c r="A642" s="17"/>
      <c r="E642" s="11"/>
      <c r="G642" s="18"/>
      <c r="H642" s="11"/>
    </row>
    <row r="643" spans="1:8">
      <c r="A643" s="17"/>
      <c r="E643" s="11"/>
      <c r="G643" s="18"/>
      <c r="H643" s="11"/>
    </row>
    <row r="644" spans="1:8">
      <c r="A644" s="17"/>
      <c r="E644" s="11"/>
      <c r="G644" s="18"/>
      <c r="H644" s="11"/>
    </row>
    <row r="645" spans="1:8">
      <c r="A645" s="17"/>
      <c r="E645" s="11"/>
      <c r="G645" s="18"/>
      <c r="H645" s="11"/>
    </row>
    <row r="646" spans="1:8">
      <c r="A646" s="17"/>
      <c r="E646" s="11"/>
      <c r="G646" s="18"/>
      <c r="H646" s="11"/>
    </row>
    <row r="647" spans="1:8">
      <c r="A647" s="17"/>
      <c r="E647" s="11"/>
      <c r="G647" s="18"/>
      <c r="H647" s="11"/>
    </row>
    <row r="648" spans="1:8">
      <c r="A648" s="17"/>
      <c r="E648" s="11"/>
      <c r="G648" s="18"/>
      <c r="H648" s="11"/>
    </row>
    <row r="649" spans="1:8">
      <c r="A649" s="17"/>
      <c r="E649" s="11"/>
      <c r="G649" s="18"/>
      <c r="H649" s="11"/>
    </row>
    <row r="650" spans="1:8">
      <c r="A650" s="17"/>
      <c r="E650" s="11"/>
      <c r="G650" s="18"/>
      <c r="H650" s="11"/>
    </row>
    <row r="651" spans="1:8">
      <c r="A651" s="17"/>
      <c r="E651" s="11"/>
      <c r="G651" s="18"/>
      <c r="H651" s="11"/>
    </row>
    <row r="652" spans="1:8">
      <c r="A652" s="17"/>
      <c r="E652" s="11"/>
      <c r="G652" s="18"/>
      <c r="H652" s="11"/>
    </row>
    <row r="653" spans="1:8">
      <c r="A653" s="17"/>
      <c r="E653" s="11"/>
      <c r="G653" s="18"/>
      <c r="H653" s="11"/>
    </row>
    <row r="654" spans="1:8">
      <c r="A654" s="17"/>
      <c r="E654" s="11"/>
      <c r="G654" s="18"/>
      <c r="H654" s="11"/>
    </row>
    <row r="655" spans="1:8">
      <c r="A655" s="17"/>
      <c r="E655" s="11"/>
      <c r="G655" s="18"/>
      <c r="H655" s="11"/>
    </row>
    <row r="656" spans="1:8">
      <c r="A656" s="17"/>
      <c r="E656" s="11"/>
      <c r="G656" s="18"/>
      <c r="H656" s="11"/>
    </row>
    <row r="657" spans="1:8">
      <c r="A657" s="17"/>
      <c r="E657" s="11"/>
      <c r="G657" s="18"/>
      <c r="H657" s="11"/>
    </row>
    <row r="658" spans="1:8">
      <c r="A658" s="17"/>
      <c r="E658" s="11"/>
      <c r="G658" s="18"/>
      <c r="H658" s="11"/>
    </row>
    <row r="659" spans="1:8">
      <c r="A659" s="17"/>
      <c r="E659" s="11"/>
      <c r="G659" s="18"/>
      <c r="H659" s="11"/>
    </row>
    <row r="660" spans="1:8">
      <c r="A660" s="17"/>
      <c r="E660" s="11"/>
      <c r="G660" s="18"/>
      <c r="H660" s="11"/>
    </row>
    <row r="661" spans="1:8">
      <c r="A661" s="17"/>
      <c r="E661" s="11"/>
      <c r="G661" s="18"/>
      <c r="H661" s="11"/>
    </row>
    <row r="662" spans="1:8">
      <c r="A662" s="17"/>
      <c r="E662" s="11"/>
      <c r="G662" s="18"/>
      <c r="H662" s="11"/>
    </row>
    <row r="663" spans="1:8">
      <c r="A663" s="17"/>
      <c r="E663" s="11"/>
      <c r="G663" s="18"/>
      <c r="H663" s="11"/>
    </row>
    <row r="664" spans="1:8">
      <c r="A664" s="17"/>
      <c r="E664" s="11"/>
      <c r="G664" s="18"/>
      <c r="H664" s="11"/>
    </row>
    <row r="665" spans="1:8">
      <c r="A665" s="17"/>
      <c r="E665" s="11"/>
      <c r="G665" s="18"/>
      <c r="H665" s="11"/>
    </row>
    <row r="666" spans="1:8">
      <c r="A666" s="17"/>
      <c r="E666" s="11"/>
      <c r="G666" s="18"/>
      <c r="H666" s="11"/>
    </row>
    <row r="667" spans="1:8">
      <c r="A667" s="17"/>
      <c r="E667" s="11"/>
      <c r="G667" s="18"/>
      <c r="H667" s="11"/>
    </row>
    <row r="668" spans="1:8">
      <c r="A668" s="17"/>
      <c r="E668" s="11"/>
      <c r="G668" s="18"/>
      <c r="H668" s="11"/>
    </row>
    <row r="669" spans="1:8">
      <c r="A669" s="17"/>
      <c r="E669" s="11"/>
      <c r="G669" s="18"/>
      <c r="H669" s="11"/>
    </row>
    <row r="670" spans="1:8">
      <c r="A670" s="17"/>
      <c r="E670" s="11"/>
      <c r="G670" s="18"/>
      <c r="H670" s="11"/>
    </row>
    <row r="671" spans="1:8">
      <c r="A671" s="17"/>
      <c r="E671" s="11"/>
      <c r="G671" s="18"/>
      <c r="H671" s="11"/>
    </row>
    <row r="672" spans="1:8">
      <c r="A672" s="17"/>
      <c r="E672" s="11"/>
      <c r="G672" s="18"/>
      <c r="H672" s="11"/>
    </row>
    <row r="673" spans="1:8">
      <c r="A673" s="17"/>
      <c r="E673" s="11"/>
      <c r="G673" s="18"/>
      <c r="H673" s="11"/>
    </row>
    <row r="674" spans="1:8">
      <c r="A674" s="17"/>
      <c r="E674" s="11"/>
      <c r="G674" s="18"/>
      <c r="H674" s="11"/>
    </row>
    <row r="675" spans="1:8">
      <c r="A675" s="17"/>
      <c r="E675" s="11"/>
      <c r="G675" s="18"/>
      <c r="H675" s="11"/>
    </row>
    <row r="676" spans="1:8">
      <c r="A676" s="17"/>
      <c r="E676" s="11"/>
      <c r="G676" s="18"/>
      <c r="H676" s="11"/>
    </row>
    <row r="677" spans="1:8">
      <c r="A677" s="17"/>
      <c r="E677" s="11"/>
      <c r="G677" s="18"/>
      <c r="H677" s="11"/>
    </row>
    <row r="678" spans="1:8">
      <c r="A678" s="17"/>
      <c r="E678" s="11"/>
      <c r="G678" s="18"/>
      <c r="H678" s="11"/>
    </row>
    <row r="679" spans="1:8">
      <c r="A679" s="17"/>
      <c r="E679" s="11"/>
      <c r="G679" s="18"/>
      <c r="H679" s="11"/>
    </row>
    <row r="680" spans="1:8">
      <c r="A680" s="17"/>
      <c r="E680" s="11"/>
      <c r="G680" s="18"/>
      <c r="H680" s="11"/>
    </row>
    <row r="681" spans="1:8">
      <c r="A681" s="17"/>
      <c r="E681" s="11"/>
      <c r="G681" s="18"/>
      <c r="H681" s="11"/>
    </row>
    <row r="682" spans="1:8">
      <c r="A682" s="17"/>
      <c r="E682" s="11"/>
      <c r="G682" s="18"/>
      <c r="H682" s="11"/>
    </row>
    <row r="683" spans="1:8">
      <c r="A683" s="17"/>
      <c r="E683" s="11"/>
      <c r="G683" s="18"/>
      <c r="H683" s="11"/>
    </row>
    <row r="684" spans="1:8">
      <c r="A684" s="17"/>
      <c r="E684" s="11"/>
      <c r="G684" s="18"/>
      <c r="H684" s="11"/>
    </row>
    <row r="685" spans="1:8">
      <c r="A685" s="17"/>
      <c r="E685" s="11"/>
      <c r="G685" s="18"/>
      <c r="H685" s="11"/>
    </row>
    <row r="686" spans="1:8">
      <c r="A686" s="17"/>
      <c r="E686" s="11"/>
      <c r="G686" s="18"/>
      <c r="H686" s="11"/>
    </row>
    <row r="687" spans="1:8">
      <c r="A687" s="17"/>
      <c r="E687" s="11"/>
      <c r="G687" s="18"/>
      <c r="H687" s="11"/>
    </row>
    <row r="688" spans="1:8">
      <c r="A688" s="17"/>
      <c r="E688" s="11"/>
      <c r="G688" s="18"/>
      <c r="H688" s="11"/>
    </row>
    <row r="689" spans="1:8">
      <c r="A689" s="17"/>
      <c r="E689" s="11"/>
      <c r="G689" s="18"/>
      <c r="H689" s="11"/>
    </row>
    <row r="690" spans="1:8">
      <c r="A690" s="17"/>
      <c r="E690" s="11"/>
      <c r="G690" s="18"/>
      <c r="H690" s="11"/>
    </row>
    <row r="691" spans="1:8">
      <c r="A691" s="17"/>
      <c r="E691" s="11"/>
      <c r="G691" s="18"/>
      <c r="H691" s="11"/>
    </row>
    <row r="692" spans="1:8">
      <c r="A692" s="17"/>
      <c r="E692" s="11"/>
      <c r="G692" s="18"/>
      <c r="H692" s="11"/>
    </row>
    <row r="693" spans="1:8">
      <c r="A693" s="17"/>
      <c r="E693" s="11"/>
      <c r="G693" s="18"/>
      <c r="H693" s="11"/>
    </row>
    <row r="694" spans="1:8">
      <c r="A694" s="17"/>
      <c r="E694" s="11"/>
      <c r="G694" s="18"/>
      <c r="H694" s="11"/>
    </row>
    <row r="695" spans="1:8">
      <c r="A695" s="17"/>
      <c r="E695" s="11"/>
      <c r="G695" s="18"/>
      <c r="H695" s="11"/>
    </row>
    <row r="696" spans="1:8">
      <c r="A696" s="17"/>
      <c r="E696" s="11"/>
      <c r="G696" s="18"/>
      <c r="H696" s="11"/>
    </row>
    <row r="697" spans="1:8">
      <c r="A697" s="17"/>
      <c r="E697" s="11"/>
      <c r="G697" s="18"/>
      <c r="H697" s="11"/>
    </row>
    <row r="698" spans="1:8">
      <c r="A698" s="17"/>
      <c r="E698" s="11"/>
      <c r="G698" s="18"/>
      <c r="H698" s="11"/>
    </row>
    <row r="699" spans="1:8">
      <c r="A699" s="17"/>
      <c r="E699" s="11"/>
      <c r="G699" s="18"/>
      <c r="H699" s="11"/>
    </row>
    <row r="700" spans="1:8">
      <c r="A700" s="17"/>
      <c r="E700" s="11"/>
      <c r="G700" s="18"/>
      <c r="H700" s="11"/>
    </row>
    <row r="701" spans="1:8">
      <c r="A701" s="17"/>
      <c r="E701" s="11"/>
      <c r="G701" s="18"/>
      <c r="H701" s="11"/>
    </row>
    <row r="702" spans="1:8">
      <c r="A702" s="17"/>
      <c r="E702" s="11"/>
      <c r="G702" s="18"/>
      <c r="H702" s="11"/>
    </row>
    <row r="703" spans="1:8">
      <c r="A703" s="17"/>
      <c r="E703" s="11"/>
      <c r="G703" s="18"/>
      <c r="H703" s="11"/>
    </row>
    <row r="704" spans="1:8">
      <c r="A704" s="17"/>
      <c r="E704" s="11"/>
      <c r="G704" s="18"/>
      <c r="H704" s="11"/>
    </row>
    <row r="705" spans="1:8">
      <c r="A705" s="17"/>
      <c r="E705" s="11"/>
      <c r="G705" s="18"/>
      <c r="H705" s="11"/>
    </row>
    <row r="706" spans="1:8">
      <c r="A706" s="17"/>
      <c r="E706" s="11"/>
      <c r="G706" s="18"/>
      <c r="H706" s="11"/>
    </row>
    <row r="707" spans="1:8">
      <c r="A707" s="17"/>
      <c r="E707" s="11"/>
      <c r="G707" s="18"/>
      <c r="H707" s="11"/>
    </row>
    <row r="708" spans="1:8">
      <c r="A708" s="17"/>
      <c r="E708" s="11"/>
      <c r="G708" s="18"/>
      <c r="H708" s="11"/>
    </row>
    <row r="709" spans="1:8">
      <c r="A709" s="17"/>
      <c r="E709" s="11"/>
      <c r="G709" s="18"/>
      <c r="H709" s="11"/>
    </row>
    <row r="710" spans="1:8">
      <c r="A710" s="17"/>
      <c r="E710" s="11"/>
      <c r="G710" s="18"/>
      <c r="H710" s="11"/>
    </row>
    <row r="711" spans="1:8">
      <c r="A711" s="17"/>
      <c r="E711" s="11"/>
      <c r="G711" s="18"/>
      <c r="H711" s="11"/>
    </row>
    <row r="712" spans="1:8">
      <c r="A712" s="17"/>
      <c r="E712" s="11"/>
      <c r="G712" s="18"/>
      <c r="H712" s="11"/>
    </row>
    <row r="713" spans="1:8">
      <c r="A713" s="17"/>
      <c r="E713" s="11"/>
      <c r="G713" s="18"/>
      <c r="H713" s="11"/>
    </row>
    <row r="714" spans="1:8">
      <c r="A714" s="17"/>
      <c r="E714" s="11"/>
      <c r="G714" s="18"/>
      <c r="H714" s="11"/>
    </row>
    <row r="715" spans="1:8">
      <c r="A715" s="17"/>
      <c r="E715" s="11"/>
      <c r="G715" s="18"/>
      <c r="H715" s="11"/>
    </row>
    <row r="716" spans="1:8">
      <c r="A716" s="17"/>
      <c r="E716" s="11"/>
      <c r="G716" s="18"/>
      <c r="H716" s="11"/>
    </row>
    <row r="717" spans="1:8">
      <c r="A717" s="17"/>
      <c r="E717" s="11"/>
      <c r="G717" s="18"/>
      <c r="H717" s="11"/>
    </row>
    <row r="718" spans="1:8">
      <c r="A718" s="17"/>
      <c r="E718" s="11"/>
      <c r="G718" s="18"/>
      <c r="H718" s="11"/>
    </row>
    <row r="719" spans="1:8">
      <c r="A719" s="17"/>
      <c r="E719" s="11"/>
      <c r="G719" s="18"/>
      <c r="H719" s="11"/>
    </row>
    <row r="720" spans="1:8">
      <c r="A720" s="17"/>
      <c r="E720" s="11"/>
      <c r="G720" s="18"/>
      <c r="H720" s="11"/>
    </row>
    <row r="721" spans="1:8">
      <c r="A721" s="17"/>
      <c r="E721" s="11"/>
      <c r="G721" s="18"/>
      <c r="H721" s="11"/>
    </row>
    <row r="722" spans="1:8">
      <c r="A722" s="17"/>
      <c r="E722" s="11"/>
      <c r="G722" s="18"/>
      <c r="H722" s="11"/>
    </row>
    <row r="723" spans="1:8">
      <c r="A723" s="17"/>
      <c r="E723" s="11"/>
      <c r="G723" s="18"/>
      <c r="H723" s="11"/>
    </row>
    <row r="724" spans="1:8">
      <c r="A724" s="17"/>
      <c r="E724" s="11"/>
      <c r="G724" s="18"/>
      <c r="H724" s="11"/>
    </row>
    <row r="725" spans="1:8">
      <c r="A725" s="17"/>
      <c r="E725" s="11"/>
      <c r="G725" s="18"/>
      <c r="H725" s="11"/>
    </row>
    <row r="726" spans="1:8">
      <c r="A726" s="17"/>
      <c r="E726" s="11"/>
      <c r="G726" s="18"/>
      <c r="H726" s="11"/>
    </row>
    <row r="727" spans="1:8">
      <c r="A727" s="17"/>
      <c r="E727" s="11"/>
      <c r="G727" s="18"/>
      <c r="H727" s="11"/>
    </row>
    <row r="728" spans="1:8">
      <c r="A728" s="17"/>
      <c r="E728" s="11"/>
      <c r="G728" s="18"/>
      <c r="H728" s="11"/>
    </row>
    <row r="729" spans="1:8">
      <c r="A729" s="17"/>
      <c r="E729" s="11"/>
      <c r="G729" s="18"/>
      <c r="H729" s="11"/>
    </row>
    <row r="730" spans="1:8">
      <c r="A730" s="17"/>
      <c r="E730" s="11"/>
      <c r="G730" s="18"/>
      <c r="H730" s="11"/>
    </row>
    <row r="731" spans="1:8">
      <c r="A731" s="17"/>
      <c r="E731" s="11"/>
      <c r="G731" s="18"/>
      <c r="H731" s="11"/>
    </row>
    <row r="732" spans="1:8">
      <c r="A732" s="17"/>
      <c r="E732" s="11"/>
      <c r="G732" s="18"/>
      <c r="H732" s="11"/>
    </row>
    <row r="733" spans="1:8">
      <c r="A733" s="17"/>
      <c r="E733" s="11"/>
      <c r="G733" s="18"/>
      <c r="H733" s="11"/>
    </row>
    <row r="734" spans="1:8">
      <c r="A734" s="17"/>
      <c r="E734" s="11"/>
      <c r="G734" s="18"/>
      <c r="H734" s="11"/>
    </row>
    <row r="735" spans="1:8">
      <c r="A735" s="17"/>
      <c r="E735" s="11"/>
      <c r="G735" s="18"/>
      <c r="H735" s="11"/>
    </row>
    <row r="736" spans="1:8">
      <c r="A736" s="17"/>
      <c r="E736" s="11"/>
      <c r="G736" s="18"/>
      <c r="H736" s="11"/>
    </row>
    <row r="737" spans="1:8">
      <c r="A737" s="17"/>
      <c r="E737" s="11"/>
      <c r="G737" s="18"/>
      <c r="H737" s="11"/>
    </row>
    <row r="738" spans="1:8">
      <c r="A738" s="17"/>
      <c r="E738" s="11"/>
      <c r="G738" s="18"/>
      <c r="H738" s="11"/>
    </row>
    <row r="739" spans="1:8">
      <c r="A739" s="17"/>
      <c r="E739" s="11"/>
      <c r="G739" s="18"/>
      <c r="H739" s="11"/>
    </row>
    <row r="740" spans="1:8">
      <c r="A740" s="17"/>
      <c r="E740" s="11"/>
      <c r="G740" s="18"/>
      <c r="H740" s="11"/>
    </row>
    <row r="741" spans="1:8">
      <c r="A741" s="17"/>
      <c r="E741" s="11"/>
      <c r="G741" s="18"/>
      <c r="H741" s="11"/>
    </row>
    <row r="742" spans="1:8">
      <c r="A742" s="17"/>
      <c r="E742" s="11"/>
      <c r="G742" s="18"/>
      <c r="H742" s="11"/>
    </row>
    <row r="743" spans="1:8">
      <c r="A743" s="17"/>
      <c r="E743" s="11"/>
      <c r="G743" s="18"/>
      <c r="H743" s="11"/>
    </row>
    <row r="744" spans="1:8">
      <c r="A744" s="17"/>
      <c r="E744" s="11"/>
      <c r="G744" s="18"/>
      <c r="H744" s="11"/>
    </row>
    <row r="745" spans="1:8">
      <c r="A745" s="17"/>
      <c r="E745" s="11"/>
      <c r="G745" s="18"/>
      <c r="H745" s="11"/>
    </row>
    <row r="746" spans="1:8">
      <c r="A746" s="17"/>
      <c r="E746" s="11"/>
      <c r="G746" s="18"/>
      <c r="H746" s="11"/>
    </row>
    <row r="747" spans="1:8">
      <c r="A747" s="17"/>
      <c r="E747" s="11"/>
      <c r="G747" s="18"/>
      <c r="H747" s="11"/>
    </row>
    <row r="748" spans="1:8">
      <c r="A748" s="17"/>
      <c r="E748" s="11"/>
      <c r="G748" s="18"/>
      <c r="H748" s="11"/>
    </row>
    <row r="749" spans="1:8">
      <c r="A749" s="17"/>
      <c r="E749" s="11"/>
      <c r="G749" s="18"/>
      <c r="H749" s="11"/>
    </row>
    <row r="750" spans="1:8">
      <c r="A750" s="17"/>
      <c r="E750" s="11"/>
      <c r="G750" s="18"/>
      <c r="H750" s="11"/>
    </row>
    <row r="751" spans="1:8">
      <c r="A751" s="17"/>
      <c r="E751" s="11"/>
      <c r="G751" s="18"/>
      <c r="H751" s="11"/>
    </row>
    <row r="752" spans="1:8">
      <c r="A752" s="17"/>
      <c r="E752" s="11"/>
      <c r="G752" s="18"/>
      <c r="H752" s="11"/>
    </row>
    <row r="753" spans="1:8">
      <c r="A753" s="17"/>
      <c r="E753" s="11"/>
      <c r="G753" s="18"/>
      <c r="H753" s="11"/>
    </row>
    <row r="754" spans="1:8">
      <c r="A754" s="17"/>
      <c r="E754" s="11"/>
      <c r="G754" s="18"/>
      <c r="H754" s="11"/>
    </row>
    <row r="755" spans="1:8">
      <c r="A755" s="17"/>
      <c r="E755" s="11"/>
      <c r="G755" s="18"/>
      <c r="H755" s="11"/>
    </row>
    <row r="756" spans="1:8">
      <c r="A756" s="17"/>
      <c r="E756" s="11"/>
      <c r="G756" s="18"/>
      <c r="H756" s="11"/>
    </row>
    <row r="757" spans="1:8">
      <c r="A757" s="17"/>
      <c r="E757" s="11"/>
      <c r="G757" s="18"/>
      <c r="H757" s="11"/>
    </row>
    <row r="758" spans="1:8">
      <c r="A758" s="17"/>
      <c r="E758" s="11"/>
      <c r="G758" s="18"/>
      <c r="H758" s="11"/>
    </row>
    <row r="759" spans="1:8">
      <c r="A759" s="17"/>
      <c r="E759" s="11"/>
      <c r="G759" s="18"/>
      <c r="H759" s="11"/>
    </row>
    <row r="760" spans="1:8">
      <c r="A760" s="17"/>
      <c r="E760" s="11"/>
      <c r="G760" s="18"/>
      <c r="H760" s="11"/>
    </row>
    <row r="761" spans="1:8">
      <c r="A761" s="17"/>
      <c r="E761" s="11"/>
      <c r="G761" s="18"/>
      <c r="H761" s="11"/>
    </row>
    <row r="762" spans="1:8">
      <c r="A762" s="17"/>
      <c r="E762" s="11"/>
      <c r="G762" s="18"/>
      <c r="H762" s="11"/>
    </row>
    <row r="763" spans="1:8">
      <c r="A763" s="17"/>
      <c r="E763" s="11"/>
      <c r="G763" s="18"/>
      <c r="H763" s="11"/>
    </row>
    <row r="764" spans="1:8">
      <c r="A764" s="17"/>
      <c r="E764" s="11"/>
      <c r="G764" s="18"/>
      <c r="H764" s="11"/>
    </row>
    <row r="765" spans="1:8">
      <c r="A765" s="17"/>
      <c r="E765" s="11"/>
      <c r="G765" s="18"/>
      <c r="H765" s="11"/>
    </row>
    <row r="766" spans="1:8">
      <c r="A766" s="17"/>
      <c r="E766" s="11"/>
      <c r="G766" s="18"/>
      <c r="H766" s="11"/>
    </row>
    <row r="767" spans="1:8">
      <c r="A767" s="17"/>
      <c r="E767" s="11"/>
      <c r="G767" s="18"/>
      <c r="H767" s="11"/>
    </row>
    <row r="768" spans="1:8">
      <c r="A768" s="17"/>
      <c r="E768" s="11"/>
      <c r="G768" s="18"/>
      <c r="H768" s="11"/>
    </row>
    <row r="769" spans="1:8">
      <c r="A769" s="17"/>
      <c r="E769" s="11"/>
      <c r="G769" s="18"/>
      <c r="H769" s="11"/>
    </row>
    <row r="770" spans="1:8">
      <c r="A770" s="17"/>
      <c r="E770" s="11"/>
      <c r="G770" s="18"/>
      <c r="H770" s="11"/>
    </row>
    <row r="771" spans="1:8">
      <c r="A771" s="17"/>
      <c r="E771" s="11"/>
      <c r="G771" s="18"/>
      <c r="H771" s="11"/>
    </row>
    <row r="772" spans="1:8">
      <c r="A772" s="17"/>
      <c r="E772" s="11"/>
      <c r="G772" s="18"/>
      <c r="H772" s="11"/>
    </row>
    <row r="773" spans="1:8">
      <c r="A773" s="17"/>
      <c r="E773" s="11"/>
      <c r="G773" s="18"/>
      <c r="H773" s="11"/>
    </row>
    <row r="774" spans="1:8">
      <c r="A774" s="17"/>
      <c r="E774" s="11"/>
      <c r="G774" s="18"/>
      <c r="H774" s="11"/>
    </row>
    <row r="775" spans="1:8">
      <c r="A775" s="17"/>
      <c r="E775" s="11"/>
      <c r="G775" s="18"/>
      <c r="H775" s="11"/>
    </row>
    <row r="776" spans="1:8">
      <c r="A776" s="17"/>
      <c r="E776" s="11"/>
      <c r="G776" s="18"/>
      <c r="H776" s="11"/>
    </row>
    <row r="777" spans="1:8">
      <c r="A777" s="17"/>
      <c r="E777" s="11"/>
      <c r="G777" s="18"/>
      <c r="H777" s="11"/>
    </row>
    <row r="778" spans="1:8">
      <c r="A778" s="17"/>
      <c r="E778" s="11"/>
      <c r="G778" s="18"/>
      <c r="H778" s="11"/>
    </row>
    <row r="779" spans="1:8">
      <c r="A779" s="17"/>
      <c r="E779" s="11"/>
      <c r="G779" s="18"/>
      <c r="H779" s="11"/>
    </row>
    <row r="780" spans="1:8">
      <c r="A780" s="17"/>
      <c r="E780" s="11"/>
      <c r="G780" s="18"/>
      <c r="H780" s="11"/>
    </row>
    <row r="781" spans="1:8">
      <c r="A781" s="17"/>
      <c r="E781" s="11"/>
      <c r="G781" s="18"/>
      <c r="H781" s="11"/>
    </row>
    <row r="782" spans="1:8">
      <c r="A782" s="17"/>
      <c r="E782" s="11"/>
      <c r="G782" s="18"/>
      <c r="H782" s="11"/>
    </row>
    <row r="783" spans="1:8">
      <c r="A783" s="17"/>
      <c r="E783" s="11"/>
      <c r="G783" s="18"/>
      <c r="H783" s="11"/>
    </row>
    <row r="784" spans="1:8">
      <c r="A784" s="17"/>
      <c r="E784" s="11"/>
      <c r="G784" s="18"/>
      <c r="H784" s="11"/>
    </row>
    <row r="785" spans="1:8">
      <c r="A785" s="17"/>
      <c r="E785" s="11"/>
      <c r="G785" s="18"/>
      <c r="H785" s="11"/>
    </row>
    <row r="786" spans="1:8">
      <c r="A786" s="17"/>
      <c r="E786" s="11"/>
      <c r="G786" s="18"/>
      <c r="H786" s="11"/>
    </row>
    <row r="787" spans="1:8">
      <c r="A787" s="17"/>
      <c r="E787" s="11"/>
      <c r="G787" s="18"/>
      <c r="H787" s="11"/>
    </row>
    <row r="788" spans="1:8">
      <c r="A788" s="17"/>
      <c r="E788" s="11"/>
      <c r="G788" s="18"/>
      <c r="H788" s="11"/>
    </row>
    <row r="789" spans="1:8">
      <c r="A789" s="17"/>
      <c r="E789" s="11"/>
      <c r="G789" s="18"/>
      <c r="H789" s="11"/>
    </row>
    <row r="790" spans="1:8">
      <c r="A790" s="17"/>
      <c r="E790" s="11"/>
      <c r="G790" s="18"/>
      <c r="H790" s="11"/>
    </row>
    <row r="791" spans="1:8">
      <c r="A791" s="17"/>
      <c r="E791" s="11"/>
      <c r="G791" s="18"/>
      <c r="H791" s="11"/>
    </row>
    <row r="792" spans="1:8">
      <c r="A792" s="17"/>
      <c r="E792" s="11"/>
      <c r="G792" s="18"/>
      <c r="H792" s="11"/>
    </row>
    <row r="793" spans="1:8">
      <c r="A793" s="17"/>
      <c r="E793" s="11"/>
      <c r="G793" s="18"/>
      <c r="H793" s="11"/>
    </row>
    <row r="794" spans="1:8">
      <c r="A794" s="17"/>
      <c r="E794" s="11"/>
      <c r="G794" s="18"/>
      <c r="H794" s="11"/>
    </row>
    <row r="795" spans="1:8">
      <c r="A795" s="17"/>
      <c r="E795" s="11"/>
      <c r="G795" s="18"/>
      <c r="H795" s="11"/>
    </row>
    <row r="796" spans="1:8">
      <c r="A796" s="17"/>
      <c r="E796" s="11"/>
      <c r="G796" s="18"/>
      <c r="H796" s="11"/>
    </row>
    <row r="797" spans="1:8">
      <c r="A797" s="17"/>
      <c r="E797" s="11"/>
      <c r="G797" s="18"/>
      <c r="H797" s="11"/>
    </row>
    <row r="798" spans="1:8">
      <c r="A798" s="17"/>
      <c r="E798" s="11"/>
      <c r="G798" s="18"/>
      <c r="H798" s="11"/>
    </row>
    <row r="799" spans="1:8">
      <c r="A799" s="17"/>
      <c r="E799" s="11"/>
      <c r="G799" s="18"/>
      <c r="H799" s="11"/>
    </row>
    <row r="800" spans="1:8">
      <c r="A800" s="17"/>
      <c r="E800" s="11"/>
      <c r="G800" s="18"/>
      <c r="H800" s="11"/>
    </row>
    <row r="801" spans="1:8">
      <c r="A801" s="17"/>
      <c r="E801" s="11"/>
      <c r="G801" s="18"/>
      <c r="H801" s="11"/>
    </row>
    <row r="802" spans="1:8">
      <c r="A802" s="17"/>
      <c r="E802" s="11"/>
      <c r="G802" s="18"/>
      <c r="H802" s="11"/>
    </row>
    <row r="803" spans="1:8">
      <c r="A803" s="17"/>
      <c r="E803" s="11"/>
      <c r="G803" s="18"/>
      <c r="H803" s="11"/>
    </row>
    <row r="804" spans="1:8">
      <c r="A804" s="17"/>
      <c r="E804" s="11"/>
      <c r="G804" s="18"/>
      <c r="H804" s="11"/>
    </row>
    <row r="805" spans="1:8">
      <c r="A805" s="17"/>
      <c r="E805" s="11"/>
      <c r="G805" s="18"/>
      <c r="H805" s="11"/>
    </row>
    <row r="806" spans="1:8">
      <c r="A806" s="17"/>
      <c r="E806" s="11"/>
      <c r="G806" s="18"/>
      <c r="H806" s="11"/>
    </row>
    <row r="807" spans="1:8">
      <c r="A807" s="17"/>
      <c r="E807" s="11"/>
      <c r="G807" s="18"/>
      <c r="H807" s="11"/>
    </row>
    <row r="808" spans="1:8">
      <c r="A808" s="17"/>
      <c r="E808" s="11"/>
      <c r="G808" s="18"/>
      <c r="H808" s="11"/>
    </row>
    <row r="809" spans="1:8">
      <c r="A809" s="17"/>
      <c r="E809" s="11"/>
      <c r="G809" s="18"/>
      <c r="H809" s="11"/>
    </row>
    <row r="810" spans="1:8">
      <c r="A810" s="17"/>
      <c r="E810" s="11"/>
      <c r="G810" s="18"/>
      <c r="H810" s="11"/>
    </row>
    <row r="811" spans="1:8">
      <c r="A811" s="17"/>
      <c r="E811" s="11"/>
      <c r="G811" s="18"/>
      <c r="H811" s="11"/>
    </row>
    <row r="812" spans="1:8">
      <c r="A812" s="17"/>
      <c r="E812" s="11"/>
      <c r="G812" s="18"/>
      <c r="H812" s="11"/>
    </row>
    <row r="813" spans="1:8">
      <c r="A813" s="17"/>
      <c r="E813" s="11"/>
      <c r="G813" s="18"/>
      <c r="H813" s="11"/>
    </row>
    <row r="814" spans="1:8">
      <c r="A814" s="17"/>
      <c r="E814" s="11"/>
      <c r="G814" s="18"/>
      <c r="H814" s="11"/>
    </row>
    <row r="815" spans="1:8">
      <c r="A815" s="17"/>
      <c r="E815" s="11"/>
      <c r="G815" s="18"/>
      <c r="H815" s="11"/>
    </row>
    <row r="816" spans="1:8">
      <c r="A816" s="17"/>
      <c r="E816" s="11"/>
      <c r="G816" s="18"/>
      <c r="H816" s="11"/>
    </row>
    <row r="817" spans="1:8">
      <c r="A817" s="17"/>
      <c r="E817" s="11"/>
      <c r="G817" s="18"/>
      <c r="H817" s="11"/>
    </row>
    <row r="818" spans="1:8">
      <c r="A818" s="17"/>
      <c r="E818" s="11"/>
      <c r="G818" s="18"/>
      <c r="H818" s="11"/>
    </row>
    <row r="819" spans="1:8">
      <c r="A819" s="17"/>
      <c r="E819" s="11"/>
      <c r="G819" s="18"/>
      <c r="H819" s="11"/>
    </row>
    <row r="820" spans="1:8">
      <c r="A820" s="17"/>
      <c r="E820" s="11"/>
      <c r="G820" s="18"/>
      <c r="H820" s="11"/>
    </row>
    <row r="821" spans="1:8">
      <c r="A821" s="17"/>
      <c r="E821" s="11"/>
      <c r="G821" s="18"/>
      <c r="H821" s="11"/>
    </row>
    <row r="822" spans="1:8">
      <c r="A822" s="17"/>
      <c r="E822" s="11"/>
      <c r="G822" s="18"/>
      <c r="H822" s="11"/>
    </row>
    <row r="823" spans="1:8">
      <c r="A823" s="17"/>
      <c r="E823" s="11"/>
      <c r="G823" s="18"/>
      <c r="H823" s="11"/>
    </row>
    <row r="824" spans="1:8">
      <c r="A824" s="17"/>
      <c r="E824" s="11"/>
      <c r="G824" s="18"/>
      <c r="H824" s="11"/>
    </row>
    <row r="825" spans="1:8">
      <c r="A825" s="17"/>
      <c r="E825" s="11"/>
      <c r="G825" s="18"/>
      <c r="H825" s="11"/>
    </row>
    <row r="826" spans="1:8">
      <c r="A826" s="17"/>
      <c r="E826" s="11"/>
      <c r="G826" s="18"/>
      <c r="H826" s="11"/>
    </row>
    <row r="827" spans="1:8">
      <c r="A827" s="17"/>
      <c r="E827" s="11"/>
      <c r="G827" s="18"/>
      <c r="H827" s="11"/>
    </row>
    <row r="828" spans="1:8">
      <c r="A828" s="17"/>
      <c r="E828" s="11"/>
      <c r="G828" s="18"/>
      <c r="H828" s="11"/>
    </row>
    <row r="829" spans="1:8">
      <c r="A829" s="17"/>
      <c r="E829" s="11"/>
      <c r="G829" s="18"/>
      <c r="H829" s="11"/>
    </row>
    <row r="830" spans="1:8">
      <c r="A830" s="17"/>
      <c r="E830" s="11"/>
      <c r="G830" s="18"/>
      <c r="H830" s="11"/>
    </row>
    <row r="831" spans="1:8">
      <c r="A831" s="17"/>
      <c r="E831" s="11"/>
      <c r="G831" s="18"/>
      <c r="H831" s="11"/>
    </row>
    <row r="832" spans="1:8">
      <c r="A832" s="17"/>
      <c r="E832" s="11"/>
      <c r="G832" s="18"/>
      <c r="H832" s="11"/>
    </row>
    <row r="833" spans="1:8">
      <c r="A833" s="17"/>
      <c r="E833" s="11"/>
      <c r="G833" s="18"/>
      <c r="H833" s="11"/>
    </row>
    <row r="834" spans="1:8">
      <c r="A834" s="17"/>
      <c r="E834" s="11"/>
      <c r="G834" s="18"/>
      <c r="H834" s="11"/>
    </row>
    <row r="835" spans="1:8">
      <c r="A835" s="17"/>
      <c r="E835" s="11"/>
      <c r="G835" s="18"/>
      <c r="H835" s="11"/>
    </row>
    <row r="836" spans="1:8">
      <c r="A836" s="17"/>
      <c r="E836" s="11"/>
      <c r="G836" s="18"/>
      <c r="H836" s="11"/>
    </row>
    <row r="837" spans="1:8">
      <c r="A837" s="17"/>
      <c r="E837" s="11"/>
      <c r="G837" s="18"/>
      <c r="H837" s="11"/>
    </row>
    <row r="838" spans="1:8">
      <c r="A838" s="17"/>
      <c r="E838" s="11"/>
      <c r="G838" s="18"/>
      <c r="H838" s="11"/>
    </row>
    <row r="839" spans="1:8">
      <c r="A839" s="17"/>
      <c r="E839" s="11"/>
      <c r="G839" s="18"/>
      <c r="H839" s="11"/>
    </row>
    <row r="840" spans="1:8">
      <c r="A840" s="17"/>
      <c r="E840" s="11"/>
      <c r="G840" s="18"/>
      <c r="H840" s="11"/>
    </row>
    <row r="841" spans="1:8">
      <c r="A841" s="17"/>
      <c r="E841" s="11"/>
      <c r="G841" s="18"/>
      <c r="H841" s="11"/>
    </row>
    <row r="842" spans="1:8">
      <c r="A842" s="17"/>
      <c r="E842" s="11"/>
      <c r="G842" s="18"/>
      <c r="H842" s="11"/>
    </row>
    <row r="843" spans="1:8">
      <c r="A843" s="17"/>
      <c r="E843" s="11"/>
      <c r="G843" s="18"/>
      <c r="H843" s="11"/>
    </row>
    <row r="844" spans="1:8">
      <c r="A844" s="17"/>
      <c r="E844" s="11"/>
      <c r="G844" s="18"/>
      <c r="H844" s="11"/>
    </row>
    <row r="845" spans="1:8">
      <c r="A845" s="17"/>
      <c r="E845" s="11"/>
      <c r="G845" s="18"/>
      <c r="H845" s="11"/>
    </row>
    <row r="846" spans="1:8">
      <c r="A846" s="17"/>
      <c r="E846" s="11"/>
      <c r="G846" s="18"/>
      <c r="H846" s="11"/>
    </row>
    <row r="847" spans="1:8">
      <c r="A847" s="17"/>
      <c r="E847" s="11"/>
      <c r="G847" s="18"/>
      <c r="H847" s="11"/>
    </row>
    <row r="848" spans="1:8">
      <c r="A848" s="17"/>
      <c r="E848" s="11"/>
      <c r="G848" s="18"/>
      <c r="H848" s="11"/>
    </row>
    <row r="849" spans="1:8">
      <c r="A849" s="17"/>
      <c r="E849" s="11"/>
      <c r="G849" s="18"/>
      <c r="H849" s="11"/>
    </row>
    <row r="850" spans="1:8">
      <c r="A850" s="17"/>
      <c r="E850" s="11"/>
      <c r="G850" s="18"/>
      <c r="H850" s="11"/>
    </row>
    <row r="851" spans="1:8">
      <c r="A851" s="17"/>
      <c r="E851" s="11"/>
      <c r="G851" s="18"/>
      <c r="H851" s="11"/>
    </row>
    <row r="852" spans="1:8">
      <c r="A852" s="17"/>
      <c r="E852" s="11"/>
      <c r="G852" s="18"/>
      <c r="H852" s="11"/>
    </row>
    <row r="853" spans="1:8">
      <c r="A853" s="17"/>
      <c r="E853" s="11"/>
      <c r="G853" s="18"/>
      <c r="H853" s="11"/>
    </row>
    <row r="854" spans="1:8">
      <c r="A854" s="17"/>
      <c r="E854" s="11"/>
      <c r="G854" s="18"/>
      <c r="H854" s="11"/>
    </row>
    <row r="855" spans="1:8">
      <c r="A855" s="17"/>
      <c r="E855" s="11"/>
      <c r="G855" s="18"/>
      <c r="H855" s="11"/>
    </row>
    <row r="856" spans="1:8">
      <c r="A856" s="17"/>
      <c r="E856" s="11"/>
      <c r="G856" s="18"/>
      <c r="H856" s="11"/>
    </row>
    <row r="857" spans="1:8">
      <c r="A857" s="17"/>
      <c r="E857" s="11"/>
      <c r="G857" s="18"/>
      <c r="H857" s="11"/>
    </row>
    <row r="858" spans="1:8">
      <c r="A858" s="17"/>
      <c r="E858" s="11"/>
      <c r="G858" s="18"/>
      <c r="H858" s="11"/>
    </row>
    <row r="859" spans="1:8">
      <c r="A859" s="17"/>
      <c r="E859" s="11"/>
      <c r="G859" s="18"/>
      <c r="H859" s="11"/>
    </row>
    <row r="860" spans="1:8">
      <c r="A860" s="17"/>
      <c r="E860" s="11"/>
      <c r="G860" s="18"/>
      <c r="H860" s="11"/>
    </row>
    <row r="861" spans="1:8">
      <c r="A861" s="17"/>
      <c r="E861" s="11"/>
      <c r="G861" s="18"/>
      <c r="H861" s="11"/>
    </row>
    <row r="862" spans="1:8">
      <c r="A862" s="17"/>
      <c r="E862" s="11"/>
      <c r="G862" s="18"/>
      <c r="H862" s="11"/>
    </row>
    <row r="863" spans="1:8">
      <c r="A863" s="17"/>
      <c r="E863" s="11"/>
      <c r="G863" s="18"/>
      <c r="H863" s="11"/>
    </row>
    <row r="864" spans="1:8">
      <c r="A864" s="17"/>
      <c r="E864" s="11"/>
      <c r="G864" s="18"/>
      <c r="H864" s="11"/>
    </row>
    <row r="865" spans="1:8">
      <c r="A865" s="17"/>
      <c r="E865" s="11"/>
      <c r="G865" s="18"/>
      <c r="H865" s="11"/>
    </row>
    <row r="866" spans="1:8">
      <c r="A866" s="17"/>
      <c r="E866" s="11"/>
      <c r="G866" s="18"/>
      <c r="H866" s="11"/>
    </row>
    <row r="867" spans="1:8">
      <c r="A867" s="17"/>
      <c r="E867" s="11"/>
      <c r="G867" s="18"/>
      <c r="H867" s="11"/>
    </row>
    <row r="868" spans="1:8">
      <c r="A868" s="17"/>
      <c r="E868" s="11"/>
      <c r="G868" s="18"/>
      <c r="H868" s="11"/>
    </row>
    <row r="869" spans="1:8">
      <c r="A869" s="17"/>
      <c r="E869" s="11"/>
      <c r="G869" s="18"/>
      <c r="H869" s="11"/>
    </row>
    <row r="870" spans="1:8">
      <c r="A870" s="17"/>
      <c r="E870" s="11"/>
      <c r="G870" s="18"/>
      <c r="H870" s="11"/>
    </row>
    <row r="871" spans="1:8">
      <c r="A871" s="17"/>
      <c r="E871" s="11"/>
      <c r="G871" s="18"/>
      <c r="H871" s="11"/>
    </row>
    <row r="872" spans="1:8">
      <c r="A872" s="17"/>
      <c r="E872" s="11"/>
      <c r="G872" s="18"/>
      <c r="H872" s="11"/>
    </row>
    <row r="873" spans="1:8">
      <c r="A873" s="17"/>
      <c r="E873" s="11"/>
      <c r="G873" s="18"/>
      <c r="H873" s="11"/>
    </row>
    <row r="874" spans="1:8">
      <c r="A874" s="17"/>
      <c r="E874" s="11"/>
      <c r="G874" s="18"/>
      <c r="H874" s="11"/>
    </row>
    <row r="875" spans="1:8">
      <c r="A875" s="17"/>
      <c r="E875" s="11"/>
      <c r="G875" s="18"/>
      <c r="H875" s="11"/>
    </row>
    <row r="876" spans="1:8">
      <c r="A876" s="17"/>
      <c r="E876" s="11"/>
      <c r="G876" s="18"/>
      <c r="H876" s="11"/>
    </row>
    <row r="877" spans="1:8">
      <c r="A877" s="17"/>
      <c r="E877" s="11"/>
      <c r="G877" s="18"/>
      <c r="H877" s="11"/>
    </row>
    <row r="878" spans="1:8">
      <c r="A878" s="17"/>
      <c r="E878" s="11"/>
      <c r="G878" s="18"/>
      <c r="H878" s="11"/>
    </row>
    <row r="879" spans="1:8">
      <c r="A879" s="17"/>
      <c r="E879" s="11"/>
      <c r="G879" s="18"/>
      <c r="H879" s="11"/>
    </row>
    <row r="880" spans="1:8">
      <c r="A880" s="17"/>
      <c r="E880" s="11"/>
      <c r="G880" s="18"/>
      <c r="H880" s="11"/>
    </row>
    <row r="881" spans="1:8">
      <c r="A881" s="17"/>
      <c r="E881" s="11"/>
      <c r="G881" s="18"/>
      <c r="H881" s="11"/>
    </row>
    <row r="882" spans="1:8">
      <c r="A882" s="17"/>
      <c r="E882" s="11"/>
      <c r="G882" s="18"/>
      <c r="H882" s="11"/>
    </row>
    <row r="883" spans="1:8">
      <c r="A883" s="17"/>
      <c r="E883" s="11"/>
      <c r="G883" s="18"/>
      <c r="H883" s="11"/>
    </row>
    <row r="884" spans="1:8">
      <c r="A884" s="17"/>
      <c r="E884" s="11"/>
      <c r="G884" s="18"/>
      <c r="H884" s="11"/>
    </row>
    <row r="885" spans="1:8">
      <c r="A885" s="17"/>
      <c r="E885" s="11"/>
      <c r="G885" s="18"/>
      <c r="H885" s="11"/>
    </row>
    <row r="886" spans="1:8">
      <c r="A886" s="17"/>
      <c r="E886" s="11"/>
      <c r="G886" s="18"/>
      <c r="H886" s="11"/>
    </row>
    <row r="887" spans="1:8">
      <c r="A887" s="17"/>
      <c r="E887" s="11"/>
      <c r="G887" s="18"/>
      <c r="H887" s="11"/>
    </row>
    <row r="888" spans="1:8">
      <c r="A888" s="17"/>
      <c r="E888" s="11"/>
      <c r="G888" s="18"/>
      <c r="H888" s="11"/>
    </row>
    <row r="889" spans="1:8">
      <c r="A889" s="17"/>
      <c r="E889" s="11"/>
      <c r="G889" s="18"/>
      <c r="H889" s="11"/>
    </row>
    <row r="890" spans="1:8">
      <c r="A890" s="17"/>
      <c r="E890" s="11"/>
      <c r="G890" s="18"/>
      <c r="H890" s="11"/>
    </row>
    <row r="891" spans="1:8">
      <c r="A891" s="17"/>
      <c r="E891" s="11"/>
      <c r="G891" s="18"/>
      <c r="H891" s="11"/>
    </row>
    <row r="892" spans="1:8">
      <c r="A892" s="17"/>
      <c r="E892" s="11"/>
      <c r="G892" s="18"/>
      <c r="H892" s="11"/>
    </row>
    <row r="893" spans="1:8">
      <c r="A893" s="17"/>
      <c r="E893" s="11"/>
      <c r="G893" s="18"/>
      <c r="H893" s="11"/>
    </row>
    <row r="894" spans="1:8">
      <c r="A894" s="17"/>
      <c r="E894" s="11"/>
      <c r="G894" s="18"/>
      <c r="H894" s="11"/>
    </row>
    <row r="895" spans="1:8">
      <c r="A895" s="17"/>
      <c r="E895" s="11"/>
      <c r="G895" s="18"/>
      <c r="H895" s="11"/>
    </row>
    <row r="896" spans="1:8">
      <c r="A896" s="17"/>
      <c r="E896" s="11"/>
      <c r="G896" s="18"/>
      <c r="H896" s="11"/>
    </row>
    <row r="897" spans="1:8">
      <c r="A897" s="17"/>
      <c r="E897" s="11"/>
      <c r="G897" s="18"/>
      <c r="H897" s="11"/>
    </row>
    <row r="898" spans="1:8">
      <c r="A898" s="17"/>
      <c r="E898" s="11"/>
      <c r="G898" s="18"/>
      <c r="H898" s="11"/>
    </row>
    <row r="899" spans="1:8">
      <c r="A899" s="17"/>
      <c r="E899" s="11"/>
      <c r="G899" s="18"/>
      <c r="H899" s="11"/>
    </row>
    <row r="900" spans="1:8">
      <c r="A900" s="17"/>
      <c r="E900" s="11"/>
      <c r="G900" s="18"/>
      <c r="H900" s="11"/>
    </row>
    <row r="901" spans="1:8">
      <c r="A901" s="17"/>
      <c r="E901" s="11"/>
      <c r="G901" s="18"/>
      <c r="H901" s="11"/>
    </row>
    <row r="902" spans="1:8">
      <c r="A902" s="17"/>
      <c r="E902" s="11"/>
      <c r="G902" s="18"/>
      <c r="H902" s="11"/>
    </row>
    <row r="903" spans="1:8">
      <c r="A903" s="17"/>
      <c r="E903" s="11"/>
      <c r="G903" s="18"/>
      <c r="H903" s="11"/>
    </row>
    <row r="904" spans="1:8">
      <c r="A904" s="17"/>
      <c r="E904" s="11"/>
      <c r="G904" s="18"/>
      <c r="H904" s="11"/>
    </row>
    <row r="905" spans="1:8">
      <c r="A905" s="17"/>
      <c r="E905" s="11"/>
      <c r="G905" s="18"/>
      <c r="H905" s="11"/>
    </row>
    <row r="906" spans="1:8">
      <c r="A906" s="17"/>
      <c r="E906" s="11"/>
      <c r="G906" s="18"/>
      <c r="H906" s="11"/>
    </row>
    <row r="907" spans="1:8">
      <c r="A907" s="17"/>
      <c r="E907" s="11"/>
      <c r="G907" s="18"/>
      <c r="H907" s="11"/>
    </row>
    <row r="908" spans="1:8">
      <c r="A908" s="17"/>
      <c r="E908" s="11"/>
      <c r="G908" s="18"/>
      <c r="H908" s="11"/>
    </row>
    <row r="909" spans="1:8">
      <c r="A909" s="17"/>
      <c r="E909" s="11"/>
      <c r="G909" s="18"/>
      <c r="H909" s="11"/>
    </row>
    <row r="910" spans="1:8">
      <c r="A910" s="17"/>
      <c r="E910" s="11"/>
      <c r="G910" s="18"/>
      <c r="H910" s="11"/>
    </row>
    <row r="911" spans="1:8">
      <c r="A911" s="17"/>
      <c r="E911" s="11"/>
      <c r="G911" s="18"/>
      <c r="H911" s="11"/>
    </row>
    <row r="912" spans="1:8">
      <c r="A912" s="17"/>
      <c r="E912" s="11"/>
      <c r="G912" s="18"/>
      <c r="H912" s="11"/>
    </row>
    <row r="913" spans="1:8">
      <c r="A913" s="17"/>
      <c r="E913" s="11"/>
      <c r="G913" s="18"/>
      <c r="H913" s="11"/>
    </row>
    <row r="914" spans="1:8">
      <c r="A914" s="17"/>
      <c r="E914" s="11"/>
      <c r="G914" s="18"/>
      <c r="H914" s="11"/>
    </row>
    <row r="915" spans="1:8">
      <c r="A915" s="17"/>
      <c r="E915" s="11"/>
      <c r="G915" s="18"/>
      <c r="H915" s="11"/>
    </row>
    <row r="916" spans="1:8">
      <c r="A916" s="17"/>
      <c r="E916" s="11"/>
      <c r="G916" s="18"/>
      <c r="H916" s="11"/>
    </row>
    <row r="917" spans="1:8">
      <c r="A917" s="17"/>
      <c r="E917" s="11"/>
      <c r="G917" s="18"/>
      <c r="H917" s="11"/>
    </row>
    <row r="918" spans="1:8">
      <c r="A918" s="17"/>
      <c r="E918" s="11"/>
      <c r="G918" s="18"/>
      <c r="H918" s="11"/>
    </row>
    <row r="919" spans="1:8">
      <c r="A919" s="17"/>
      <c r="E919" s="11"/>
      <c r="G919" s="18"/>
      <c r="H919" s="11"/>
    </row>
    <row r="920" spans="1:8">
      <c r="A920" s="17"/>
      <c r="E920" s="11"/>
      <c r="G920" s="18"/>
      <c r="H920" s="11"/>
    </row>
    <row r="921" spans="1:8">
      <c r="A921" s="17"/>
      <c r="E921" s="11"/>
      <c r="G921" s="18"/>
      <c r="H921" s="11"/>
    </row>
    <row r="922" spans="1:8">
      <c r="A922" s="17"/>
      <c r="E922" s="11"/>
      <c r="G922" s="18"/>
      <c r="H922" s="11"/>
    </row>
    <row r="923" spans="1:8">
      <c r="A923" s="17"/>
      <c r="E923" s="11"/>
      <c r="G923" s="18"/>
      <c r="H923" s="11"/>
    </row>
    <row r="924" spans="1:8">
      <c r="A924" s="17"/>
      <c r="E924" s="11"/>
      <c r="G924" s="18"/>
      <c r="H924" s="11"/>
    </row>
    <row r="925" spans="1:8">
      <c r="A925" s="17"/>
      <c r="E925" s="11"/>
      <c r="G925" s="18"/>
      <c r="H925" s="11"/>
    </row>
    <row r="926" spans="1:8">
      <c r="A926" s="17"/>
      <c r="E926" s="11"/>
      <c r="G926" s="18"/>
      <c r="H926" s="11"/>
    </row>
    <row r="927" spans="1:8">
      <c r="A927" s="17"/>
      <c r="E927" s="11"/>
      <c r="G927" s="18"/>
      <c r="H927" s="11"/>
    </row>
    <row r="928" spans="1:8">
      <c r="A928" s="17"/>
      <c r="E928" s="11"/>
      <c r="G928" s="18"/>
      <c r="H928" s="11"/>
    </row>
    <row r="929" spans="1:8">
      <c r="A929" s="17"/>
      <c r="E929" s="11"/>
      <c r="G929" s="18"/>
      <c r="H929" s="11"/>
    </row>
    <row r="930" spans="1:8">
      <c r="A930" s="17"/>
      <c r="E930" s="11"/>
      <c r="G930" s="18"/>
      <c r="H930" s="11"/>
    </row>
    <row r="931" spans="1:8">
      <c r="A931" s="17"/>
      <c r="E931" s="11"/>
      <c r="G931" s="18"/>
      <c r="H931" s="11"/>
    </row>
    <row r="932" spans="1:8">
      <c r="A932" s="17"/>
      <c r="E932" s="11"/>
      <c r="G932" s="18"/>
      <c r="H932" s="11"/>
    </row>
    <row r="933" spans="1:8">
      <c r="A933" s="17"/>
      <c r="E933" s="11"/>
      <c r="G933" s="18"/>
      <c r="H933" s="11"/>
    </row>
    <row r="934" spans="1:8">
      <c r="A934" s="17"/>
      <c r="E934" s="11"/>
      <c r="G934" s="18"/>
      <c r="H934" s="11"/>
    </row>
    <row r="935" spans="1:8">
      <c r="A935" s="17"/>
      <c r="E935" s="11"/>
      <c r="G935" s="18"/>
      <c r="H935" s="11"/>
    </row>
    <row r="936" spans="1:8">
      <c r="A936" s="17"/>
      <c r="E936" s="11"/>
      <c r="G936" s="18"/>
      <c r="H936" s="11"/>
    </row>
    <row r="937" spans="1:8">
      <c r="A937" s="17"/>
      <c r="E937" s="11"/>
      <c r="G937" s="18"/>
      <c r="H937" s="11"/>
    </row>
    <row r="938" spans="1:8">
      <c r="A938" s="17"/>
      <c r="E938" s="11"/>
      <c r="G938" s="18"/>
      <c r="H938" s="11"/>
    </row>
    <row r="939" spans="1:8">
      <c r="A939" s="17"/>
      <c r="E939" s="11"/>
      <c r="G939" s="18"/>
      <c r="H939" s="11"/>
    </row>
    <row r="940" spans="1:8">
      <c r="A940" s="17"/>
      <c r="E940" s="11"/>
      <c r="G940" s="18"/>
      <c r="H940" s="11"/>
    </row>
    <row r="941" spans="1:8">
      <c r="A941" s="17"/>
      <c r="E941" s="11"/>
      <c r="G941" s="18"/>
      <c r="H941" s="11"/>
    </row>
    <row r="942" spans="1:8">
      <c r="A942" s="17"/>
      <c r="E942" s="11"/>
      <c r="G942" s="18"/>
      <c r="H942" s="11"/>
    </row>
    <row r="943" spans="1:8">
      <c r="A943" s="17"/>
      <c r="E943" s="11"/>
      <c r="G943" s="18"/>
      <c r="H943" s="11"/>
    </row>
    <row r="944" spans="1:8">
      <c r="A944" s="17"/>
      <c r="E944" s="11"/>
      <c r="G944" s="18"/>
      <c r="H944" s="11"/>
    </row>
    <row r="945" spans="1:8">
      <c r="A945" s="17"/>
      <c r="E945" s="11"/>
      <c r="G945" s="18"/>
      <c r="H945" s="11"/>
    </row>
    <row r="946" spans="1:8">
      <c r="A946" s="17"/>
      <c r="E946" s="11"/>
      <c r="G946" s="18"/>
      <c r="H946" s="11"/>
    </row>
    <row r="947" spans="1:8">
      <c r="A947" s="17"/>
      <c r="E947" s="11"/>
      <c r="G947" s="18"/>
      <c r="H947" s="11"/>
    </row>
    <row r="948" spans="1:8">
      <c r="A948" s="17"/>
      <c r="E948" s="11"/>
      <c r="G948" s="18"/>
      <c r="H948" s="11"/>
    </row>
    <row r="949" spans="1:8">
      <c r="A949" s="17"/>
      <c r="E949" s="11"/>
      <c r="G949" s="18"/>
      <c r="H949" s="11"/>
    </row>
    <row r="950" spans="1:8">
      <c r="A950" s="17"/>
      <c r="E950" s="11"/>
      <c r="G950" s="18"/>
      <c r="H950" s="11"/>
    </row>
    <row r="951" spans="1:8">
      <c r="A951" s="17"/>
      <c r="E951" s="11"/>
      <c r="G951" s="18"/>
      <c r="H951" s="11"/>
    </row>
    <row r="952" spans="1:8">
      <c r="A952" s="17"/>
      <c r="E952" s="11"/>
      <c r="G952" s="18"/>
      <c r="H952" s="11"/>
    </row>
    <row r="953" spans="1:8">
      <c r="A953" s="17"/>
      <c r="E953" s="11"/>
      <c r="G953" s="18"/>
      <c r="H953" s="11"/>
    </row>
    <row r="954" spans="1:8">
      <c r="A954" s="17"/>
      <c r="E954" s="11"/>
      <c r="G954" s="18"/>
      <c r="H954" s="11"/>
    </row>
    <row r="955" spans="1:8">
      <c r="A955" s="17"/>
      <c r="E955" s="11"/>
      <c r="G955" s="18"/>
      <c r="H955" s="11"/>
    </row>
    <row r="956" spans="1:8">
      <c r="A956" s="17"/>
      <c r="E956" s="11"/>
      <c r="G956" s="18"/>
      <c r="H956" s="11"/>
    </row>
    <row r="957" spans="1:8">
      <c r="A957" s="17"/>
      <c r="E957" s="11"/>
      <c r="G957" s="18"/>
      <c r="H957" s="11"/>
    </row>
    <row r="958" spans="1:8">
      <c r="A958" s="17"/>
      <c r="E958" s="11"/>
      <c r="G958" s="18"/>
      <c r="H958" s="11"/>
    </row>
    <row r="959" spans="1:8">
      <c r="A959" s="17"/>
      <c r="E959" s="11"/>
      <c r="G959" s="18"/>
      <c r="H959" s="11"/>
    </row>
    <row r="960" spans="1:8">
      <c r="A960" s="17"/>
      <c r="E960" s="11"/>
      <c r="G960" s="18"/>
      <c r="H960" s="11"/>
    </row>
    <row r="961" spans="1:8">
      <c r="A961" s="17"/>
      <c r="E961" s="11"/>
      <c r="G961" s="18"/>
      <c r="H961" s="11"/>
    </row>
    <row r="962" spans="1:8">
      <c r="A962" s="17"/>
      <c r="E962" s="11"/>
      <c r="G962" s="18"/>
      <c r="H962" s="11"/>
    </row>
    <row r="963" spans="1:8">
      <c r="A963" s="17"/>
      <c r="E963" s="11"/>
      <c r="G963" s="18"/>
      <c r="H963" s="11"/>
    </row>
    <row r="964" spans="1:8">
      <c r="A964" s="17"/>
      <c r="E964" s="11"/>
      <c r="G964" s="18"/>
      <c r="H964" s="11"/>
    </row>
    <row r="965" spans="1:8">
      <c r="A965" s="17"/>
      <c r="E965" s="11"/>
      <c r="G965" s="18"/>
      <c r="H965" s="11"/>
    </row>
    <row r="966" spans="1:8">
      <c r="A966" s="17"/>
      <c r="E966" s="11"/>
      <c r="G966" s="18"/>
      <c r="H966" s="11"/>
    </row>
    <row r="967" spans="1:8">
      <c r="A967" s="17"/>
      <c r="E967" s="11"/>
      <c r="G967" s="18"/>
      <c r="H967" s="11"/>
    </row>
    <row r="968" spans="1:8">
      <c r="A968" s="17"/>
      <c r="E968" s="11"/>
      <c r="G968" s="18"/>
      <c r="H968" s="11"/>
    </row>
    <row r="969" spans="1:8">
      <c r="A969" s="17"/>
      <c r="E969" s="11"/>
      <c r="G969" s="18"/>
      <c r="H969" s="11"/>
    </row>
    <row r="970" spans="1:8">
      <c r="A970" s="17"/>
      <c r="E970" s="11"/>
      <c r="G970" s="18"/>
      <c r="H970" s="11"/>
    </row>
    <row r="971" spans="1:8">
      <c r="A971" s="17"/>
      <c r="E971" s="11"/>
      <c r="G971" s="18"/>
      <c r="H971" s="11"/>
    </row>
    <row r="972" spans="1:8">
      <c r="A972" s="17"/>
      <c r="E972" s="11"/>
      <c r="G972" s="18"/>
      <c r="H972" s="11"/>
    </row>
    <row r="973" spans="1:8">
      <c r="A973" s="17"/>
      <c r="E973" s="11"/>
      <c r="G973" s="18"/>
      <c r="H973" s="11"/>
    </row>
    <row r="974" spans="1:8">
      <c r="A974" s="17"/>
      <c r="E974" s="11"/>
      <c r="G974" s="18"/>
      <c r="H974" s="11"/>
    </row>
    <row r="975" spans="1:8">
      <c r="A975" s="17"/>
      <c r="E975" s="11"/>
      <c r="G975" s="18"/>
      <c r="H975" s="11"/>
    </row>
    <row r="976" spans="1:8">
      <c r="A976" s="17"/>
      <c r="E976" s="11"/>
      <c r="G976" s="18"/>
      <c r="H976" s="11"/>
    </row>
    <row r="977" spans="1:8">
      <c r="A977" s="17"/>
      <c r="E977" s="11"/>
      <c r="G977" s="18"/>
      <c r="H977" s="11"/>
    </row>
    <row r="978" spans="1:8">
      <c r="A978" s="17"/>
      <c r="E978" s="11"/>
      <c r="G978" s="18"/>
      <c r="H978" s="11"/>
    </row>
    <row r="979" spans="1:8">
      <c r="A979" s="17"/>
      <c r="E979" s="11"/>
      <c r="G979" s="18"/>
      <c r="H979" s="11"/>
    </row>
    <row r="980" spans="1:8">
      <c r="A980" s="17"/>
      <c r="E980" s="11"/>
      <c r="G980" s="18"/>
      <c r="H980" s="11"/>
    </row>
    <row r="981" spans="1:8">
      <c r="A981" s="17"/>
      <c r="E981" s="11"/>
      <c r="G981" s="18"/>
      <c r="H981" s="11"/>
    </row>
    <row r="982" spans="1:8">
      <c r="A982" s="17"/>
      <c r="E982" s="11"/>
      <c r="G982" s="18"/>
      <c r="H982" s="11"/>
    </row>
    <row r="983" spans="1:8">
      <c r="A983" s="17"/>
      <c r="E983" s="11"/>
      <c r="G983" s="18"/>
      <c r="H983" s="11"/>
    </row>
    <row r="984" spans="1:8">
      <c r="A984" s="17"/>
      <c r="E984" s="11"/>
      <c r="G984" s="18"/>
      <c r="H984" s="11"/>
    </row>
    <row r="985" spans="1:8">
      <c r="A985" s="17"/>
      <c r="E985" s="11"/>
      <c r="G985" s="18"/>
      <c r="H985" s="11"/>
    </row>
    <row r="986" spans="1:8">
      <c r="A986" s="17"/>
      <c r="E986" s="11"/>
      <c r="G986" s="18"/>
      <c r="H986" s="11"/>
    </row>
    <row r="987" spans="1:8">
      <c r="A987" s="17"/>
      <c r="E987" s="11"/>
      <c r="G987" s="18"/>
      <c r="H987" s="11"/>
    </row>
    <row r="988" spans="1:8">
      <c r="A988" s="17"/>
      <c r="E988" s="11"/>
      <c r="G988" s="18"/>
      <c r="H988" s="11"/>
    </row>
    <row r="989" spans="1:8">
      <c r="A989" s="17"/>
      <c r="E989" s="11"/>
      <c r="G989" s="18"/>
      <c r="H989" s="11"/>
    </row>
    <row r="990" spans="1:8">
      <c r="A990" s="17"/>
      <c r="E990" s="11"/>
      <c r="G990" s="18"/>
      <c r="H990" s="11"/>
    </row>
    <row r="991" spans="1:8">
      <c r="A991" s="17"/>
      <c r="E991" s="11"/>
      <c r="G991" s="18"/>
      <c r="H991" s="11"/>
    </row>
    <row r="992" spans="1:8">
      <c r="A992" s="17"/>
      <c r="E992" s="11"/>
      <c r="G992" s="18"/>
      <c r="H992" s="11"/>
    </row>
    <row r="993" spans="1:8">
      <c r="A993" s="17"/>
      <c r="E993" s="11"/>
      <c r="G993" s="18"/>
      <c r="H993" s="11"/>
    </row>
    <row r="994" spans="1:8">
      <c r="A994" s="17"/>
      <c r="E994" s="11"/>
      <c r="G994" s="18"/>
      <c r="H994" s="11"/>
    </row>
    <row r="995" spans="1:8">
      <c r="A995" s="17"/>
      <c r="E995" s="11"/>
      <c r="G995" s="18"/>
      <c r="H995" s="11"/>
    </row>
    <row r="996" spans="1:8">
      <c r="A996" s="17"/>
      <c r="E996" s="11"/>
      <c r="G996" s="18"/>
      <c r="H996" s="11"/>
    </row>
    <row r="997" spans="1:8">
      <c r="A997" s="17"/>
      <c r="E997" s="11"/>
      <c r="G997" s="18"/>
      <c r="H997" s="11"/>
    </row>
  </sheetData>
  <mergeCells count="2">
    <mergeCell ref="K1:L1"/>
    <mergeCell ref="K2:K7"/>
  </mergeCells>
  <dataValidations count="2">
    <dataValidation type="list" allowBlank="1" showErrorMessage="1" sqref="E2:E305 E308:E997" xr:uid="{00000000-0002-0000-0000-000000000000}">
      <formula1>"Danh từ,Động từ,Tính từ,Đại từ,Phó từ,Giới từ,Liên từ,Trợ từ,Số từ,Lượng từ,Hậu tố,Thán từ,Động từ năng nguyện,Tiền tố"</formula1>
    </dataValidation>
    <dataValidation type="list" allowBlank="1" showErrorMessage="1" sqref="H1:H997" xr:uid="{00000000-0002-0000-0000-000001000000}">
      <formula1>"1. Con người &amp; Các mối quan hệ,10. Thời gian,12. Công việc &amp; Nghề nghiệp,13. Miêu tả &amp; Đánh giá,14. Số lượng &amp; Đo lường,15. Công cụ ngữ pháp &amp; Cấu trúc,16. Tự nhiên,17. Đồ ăn &amp; Thức uống,2. Cơ thể &amp; Sức khỏe,3. Cảm xúc &amp; Thái độ,4. Tư duy &amp; Nhận thức,5. Đ"&amp;"ời sống sinh hoạt,6. Đồ vật &amp; Công cụ,7. Địa điểm &amp; Nơi chốn,8. Giao thông &amp; Di chuyển,9. Không gian &amp; Vị trí"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999"/>
  <sheetViews>
    <sheetView tabSelected="1" topLeftCell="A192" workbookViewId="0">
      <selection activeCell="E217" sqref="E217"/>
    </sheetView>
  </sheetViews>
  <sheetFormatPr defaultColWidth="12.6640625" defaultRowHeight="15.75" customHeight="1"/>
  <cols>
    <col min="1" max="1" width="5.6640625" customWidth="1"/>
    <col min="2" max="2" width="7.109375" hidden="1" customWidth="1"/>
    <col min="3" max="3" width="12.6640625" hidden="1"/>
    <col min="8" max="8" width="26.88671875" customWidth="1"/>
    <col min="9" max="9" width="4.44140625" customWidth="1"/>
  </cols>
  <sheetData>
    <row r="1" spans="1:11" thickBot="1">
      <c r="A1" s="19" t="s">
        <v>0</v>
      </c>
      <c r="B1" s="20" t="s">
        <v>749</v>
      </c>
      <c r="C1" s="20" t="s">
        <v>2</v>
      </c>
      <c r="D1" s="20" t="s">
        <v>3</v>
      </c>
      <c r="E1" s="19" t="s">
        <v>4</v>
      </c>
      <c r="F1" s="20" t="s">
        <v>5</v>
      </c>
      <c r="G1" s="19" t="s">
        <v>6</v>
      </c>
      <c r="H1" s="1" t="s">
        <v>16</v>
      </c>
      <c r="J1" s="36"/>
      <c r="K1" s="37"/>
    </row>
    <row r="2" spans="1:11" ht="27" thickBot="1">
      <c r="A2" s="46">
        <v>1</v>
      </c>
      <c r="B2" s="47">
        <v>2</v>
      </c>
      <c r="C2" s="48" t="s">
        <v>3886</v>
      </c>
      <c r="D2" s="49" t="s">
        <v>750</v>
      </c>
      <c r="E2" s="50" t="s">
        <v>27</v>
      </c>
      <c r="F2" s="48" t="s">
        <v>751</v>
      </c>
      <c r="G2" s="48" t="s">
        <v>3887</v>
      </c>
      <c r="H2" s="48" t="s">
        <v>3888</v>
      </c>
      <c r="J2" s="38"/>
      <c r="K2" s="9"/>
    </row>
    <row r="3" spans="1:11" ht="27" thickBot="1">
      <c r="A3" s="51">
        <v>2</v>
      </c>
      <c r="B3" s="52">
        <v>7</v>
      </c>
      <c r="C3" s="53" t="s">
        <v>3889</v>
      </c>
      <c r="D3" s="53" t="s">
        <v>752</v>
      </c>
      <c r="E3" s="54" t="s">
        <v>3890</v>
      </c>
      <c r="F3" s="53" t="s">
        <v>753</v>
      </c>
      <c r="G3" s="53" t="s">
        <v>754</v>
      </c>
      <c r="H3" s="54" t="s">
        <v>15</v>
      </c>
      <c r="J3" s="39"/>
      <c r="K3" s="9"/>
    </row>
    <row r="4" spans="1:11" ht="27" thickBot="1">
      <c r="A4" s="55">
        <v>3</v>
      </c>
      <c r="B4" s="52">
        <v>8</v>
      </c>
      <c r="C4" s="53" t="s">
        <v>3891</v>
      </c>
      <c r="D4" s="53" t="s">
        <v>755</v>
      </c>
      <c r="E4" s="54" t="s">
        <v>23</v>
      </c>
      <c r="F4" s="53" t="s">
        <v>756</v>
      </c>
      <c r="G4" s="53" t="s">
        <v>757</v>
      </c>
      <c r="H4" s="56" t="s">
        <v>87</v>
      </c>
      <c r="J4" s="39"/>
      <c r="K4" s="9"/>
    </row>
    <row r="5" spans="1:11" ht="27" thickBot="1">
      <c r="A5" s="51">
        <v>4</v>
      </c>
      <c r="B5" s="52">
        <v>4</v>
      </c>
      <c r="C5" s="53" t="s">
        <v>3892</v>
      </c>
      <c r="D5" s="53" t="s">
        <v>758</v>
      </c>
      <c r="E5" s="54" t="s">
        <v>23</v>
      </c>
      <c r="F5" s="53" t="s">
        <v>759</v>
      </c>
      <c r="G5" s="53" t="s">
        <v>3893</v>
      </c>
      <c r="H5" s="57" t="s">
        <v>3894</v>
      </c>
      <c r="J5" s="39"/>
      <c r="K5" s="9"/>
    </row>
    <row r="6" spans="1:11" ht="27" thickBot="1">
      <c r="A6" s="51">
        <v>5</v>
      </c>
      <c r="B6" s="52">
        <v>13</v>
      </c>
      <c r="C6" s="53" t="s">
        <v>760</v>
      </c>
      <c r="D6" s="53" t="s">
        <v>761</v>
      </c>
      <c r="E6" s="54" t="s">
        <v>23</v>
      </c>
      <c r="F6" s="53" t="s">
        <v>762</v>
      </c>
      <c r="G6" s="53" t="s">
        <v>3895</v>
      </c>
      <c r="H6" s="58" t="s">
        <v>90</v>
      </c>
      <c r="J6" s="39"/>
      <c r="K6" s="9"/>
    </row>
    <row r="7" spans="1:11" ht="27" thickBot="1">
      <c r="A7" s="51">
        <v>6</v>
      </c>
      <c r="B7" s="52">
        <v>10</v>
      </c>
      <c r="C7" s="53" t="s">
        <v>3896</v>
      </c>
      <c r="D7" s="53" t="s">
        <v>763</v>
      </c>
      <c r="E7" s="56" t="s">
        <v>12</v>
      </c>
      <c r="F7" s="53" t="s">
        <v>764</v>
      </c>
      <c r="G7" s="53" t="s">
        <v>3897</v>
      </c>
      <c r="H7" s="59" t="s">
        <v>3898</v>
      </c>
      <c r="J7" s="40"/>
      <c r="K7" s="9"/>
    </row>
    <row r="8" spans="1:11" ht="27" thickBot="1">
      <c r="A8" s="51">
        <v>7</v>
      </c>
      <c r="B8" s="52">
        <v>1</v>
      </c>
      <c r="C8" s="53" t="s">
        <v>765</v>
      </c>
      <c r="D8" s="53" t="s">
        <v>766</v>
      </c>
      <c r="E8" s="56" t="s">
        <v>12</v>
      </c>
      <c r="F8" s="53" t="s">
        <v>767</v>
      </c>
      <c r="G8" s="53" t="s">
        <v>3897</v>
      </c>
      <c r="H8" s="56" t="s">
        <v>3899</v>
      </c>
    </row>
    <row r="9" spans="1:11" ht="27" thickBot="1">
      <c r="A9" s="51">
        <v>8</v>
      </c>
      <c r="B9" s="52">
        <v>14</v>
      </c>
      <c r="C9" s="53" t="s">
        <v>3900</v>
      </c>
      <c r="D9" s="53" t="s">
        <v>768</v>
      </c>
      <c r="E9" s="54" t="s">
        <v>3901</v>
      </c>
      <c r="F9" s="53" t="s">
        <v>769</v>
      </c>
      <c r="G9" s="53" t="s">
        <v>3902</v>
      </c>
      <c r="H9" s="56" t="s">
        <v>3903</v>
      </c>
    </row>
    <row r="10" spans="1:11" ht="13.8" thickBot="1">
      <c r="A10" s="51">
        <v>9</v>
      </c>
      <c r="B10" s="52">
        <v>10</v>
      </c>
      <c r="C10" s="53" t="s">
        <v>3896</v>
      </c>
      <c r="D10" s="53" t="s">
        <v>770</v>
      </c>
      <c r="E10" s="54" t="s">
        <v>23</v>
      </c>
      <c r="F10" s="53" t="s">
        <v>771</v>
      </c>
      <c r="G10" s="53" t="s">
        <v>3904</v>
      </c>
      <c r="H10" s="60" t="s">
        <v>48</v>
      </c>
    </row>
    <row r="11" spans="1:11" ht="27" thickBot="1">
      <c r="A11" s="51">
        <v>10</v>
      </c>
      <c r="B11" s="52">
        <v>8</v>
      </c>
      <c r="C11" s="53" t="s">
        <v>3891</v>
      </c>
      <c r="D11" s="53" t="s">
        <v>772</v>
      </c>
      <c r="E11" s="57" t="s">
        <v>3905</v>
      </c>
      <c r="F11" s="53" t="s">
        <v>773</v>
      </c>
      <c r="G11" s="53" t="s">
        <v>3906</v>
      </c>
      <c r="H11" s="53" t="s">
        <v>3907</v>
      </c>
    </row>
    <row r="12" spans="1:11" ht="27" thickBot="1">
      <c r="A12" s="51">
        <v>11</v>
      </c>
      <c r="B12" s="53" t="s">
        <v>774</v>
      </c>
      <c r="C12" s="53" t="s">
        <v>3896</v>
      </c>
      <c r="D12" s="53" t="s">
        <v>775</v>
      </c>
      <c r="E12" s="54" t="s">
        <v>23</v>
      </c>
      <c r="F12" s="53" t="s">
        <v>773</v>
      </c>
      <c r="G12" s="53" t="s">
        <v>3908</v>
      </c>
      <c r="H12" s="56" t="s">
        <v>3903</v>
      </c>
    </row>
    <row r="13" spans="1:11" ht="27" thickBot="1">
      <c r="A13" s="51">
        <v>12</v>
      </c>
      <c r="B13" s="52">
        <v>2</v>
      </c>
      <c r="C13" s="53" t="s">
        <v>3886</v>
      </c>
      <c r="D13" s="53" t="s">
        <v>776</v>
      </c>
      <c r="E13" s="59" t="s">
        <v>74</v>
      </c>
      <c r="F13" s="53" t="s">
        <v>777</v>
      </c>
      <c r="G13" s="53" t="s">
        <v>3909</v>
      </c>
      <c r="H13" s="53" t="s">
        <v>3907</v>
      </c>
    </row>
    <row r="14" spans="1:11" ht="27" thickBot="1">
      <c r="A14" s="51">
        <v>13</v>
      </c>
      <c r="B14" s="52">
        <v>3</v>
      </c>
      <c r="C14" s="53" t="s">
        <v>778</v>
      </c>
      <c r="D14" s="53" t="s">
        <v>779</v>
      </c>
      <c r="E14" s="61" t="s">
        <v>105</v>
      </c>
      <c r="F14" s="53" t="s">
        <v>780</v>
      </c>
      <c r="G14" s="53" t="s">
        <v>3910</v>
      </c>
      <c r="H14" s="57" t="s">
        <v>3911</v>
      </c>
    </row>
    <row r="15" spans="1:11" ht="53.4" thickBot="1">
      <c r="A15" s="51">
        <v>14</v>
      </c>
      <c r="B15" s="52">
        <v>1</v>
      </c>
      <c r="C15" s="53" t="s">
        <v>765</v>
      </c>
      <c r="D15" s="53" t="s">
        <v>781</v>
      </c>
      <c r="E15" s="53"/>
      <c r="F15" s="53" t="s">
        <v>782</v>
      </c>
      <c r="G15" s="53" t="s">
        <v>783</v>
      </c>
      <c r="H15" s="54" t="s">
        <v>15</v>
      </c>
    </row>
    <row r="16" spans="1:11" ht="27" thickBot="1">
      <c r="A16" s="51">
        <v>15</v>
      </c>
      <c r="B16" s="52">
        <v>6</v>
      </c>
      <c r="C16" s="53" t="s">
        <v>3912</v>
      </c>
      <c r="D16" s="53" t="s">
        <v>784</v>
      </c>
      <c r="E16" s="61" t="s">
        <v>105</v>
      </c>
      <c r="F16" s="53" t="s">
        <v>785</v>
      </c>
      <c r="G16" s="53" t="s">
        <v>1593</v>
      </c>
      <c r="H16" s="57" t="s">
        <v>3894</v>
      </c>
    </row>
    <row r="17" spans="1:8" ht="27" thickBot="1">
      <c r="A17" s="51">
        <v>16</v>
      </c>
      <c r="B17" s="52">
        <v>2</v>
      </c>
      <c r="C17" s="53" t="s">
        <v>3886</v>
      </c>
      <c r="D17" s="53" t="s">
        <v>786</v>
      </c>
      <c r="E17" s="54" t="s">
        <v>23</v>
      </c>
      <c r="F17" s="53" t="s">
        <v>787</v>
      </c>
      <c r="G17" s="53" t="s">
        <v>788</v>
      </c>
      <c r="H17" s="58" t="s">
        <v>90</v>
      </c>
    </row>
    <row r="18" spans="1:8" ht="27" thickBot="1">
      <c r="A18" s="51">
        <v>17</v>
      </c>
      <c r="B18" s="52">
        <v>15</v>
      </c>
      <c r="C18" s="53" t="s">
        <v>789</v>
      </c>
      <c r="D18" s="53" t="s">
        <v>790</v>
      </c>
      <c r="E18" s="56" t="s">
        <v>12</v>
      </c>
      <c r="F18" s="53" t="s">
        <v>791</v>
      </c>
      <c r="G18" s="53" t="s">
        <v>3913</v>
      </c>
      <c r="H18" s="62" t="s">
        <v>94</v>
      </c>
    </row>
    <row r="19" spans="1:8" ht="27" thickBot="1">
      <c r="A19" s="51">
        <v>18</v>
      </c>
      <c r="B19" s="52">
        <v>15</v>
      </c>
      <c r="C19" s="53" t="s">
        <v>789</v>
      </c>
      <c r="D19" s="53" t="s">
        <v>792</v>
      </c>
      <c r="E19" s="56" t="s">
        <v>12</v>
      </c>
      <c r="F19" s="53" t="s">
        <v>793</v>
      </c>
      <c r="G19" s="53" t="s">
        <v>3914</v>
      </c>
      <c r="H19" s="62" t="s">
        <v>94</v>
      </c>
    </row>
    <row r="20" spans="1:8" ht="27" thickBot="1">
      <c r="A20" s="51">
        <v>19</v>
      </c>
      <c r="B20" s="52">
        <v>3</v>
      </c>
      <c r="C20" s="53" t="s">
        <v>778</v>
      </c>
      <c r="D20" s="53" t="s">
        <v>794</v>
      </c>
      <c r="E20" s="56" t="s">
        <v>12</v>
      </c>
      <c r="F20" s="53" t="s">
        <v>795</v>
      </c>
      <c r="G20" s="53" t="s">
        <v>3915</v>
      </c>
      <c r="H20" s="62" t="s">
        <v>3916</v>
      </c>
    </row>
    <row r="21" spans="1:8" ht="27" thickBot="1">
      <c r="A21" s="51">
        <v>20</v>
      </c>
      <c r="B21" s="52">
        <v>6</v>
      </c>
      <c r="C21" s="53" t="s">
        <v>3912</v>
      </c>
      <c r="D21" s="53" t="s">
        <v>796</v>
      </c>
      <c r="E21" s="54" t="s">
        <v>23</v>
      </c>
      <c r="F21" s="53" t="s">
        <v>797</v>
      </c>
      <c r="G21" s="53" t="s">
        <v>3917</v>
      </c>
      <c r="H21" s="60" t="s">
        <v>48</v>
      </c>
    </row>
    <row r="22" spans="1:8" ht="27" thickBot="1">
      <c r="A22" s="51">
        <v>21</v>
      </c>
      <c r="B22" s="52">
        <v>10</v>
      </c>
      <c r="C22" s="53" t="s">
        <v>3896</v>
      </c>
      <c r="D22" s="53" t="s">
        <v>798</v>
      </c>
      <c r="E22" s="54" t="s">
        <v>23</v>
      </c>
      <c r="F22" s="53" t="s">
        <v>799</v>
      </c>
      <c r="G22" s="53" t="s">
        <v>3918</v>
      </c>
      <c r="H22" s="53" t="s">
        <v>3907</v>
      </c>
    </row>
    <row r="23" spans="1:8" ht="27" thickBot="1">
      <c r="A23" s="51">
        <v>22</v>
      </c>
      <c r="B23" s="52">
        <v>1</v>
      </c>
      <c r="C23" s="53" t="s">
        <v>765</v>
      </c>
      <c r="D23" s="63" t="s">
        <v>800</v>
      </c>
      <c r="E23" s="64" t="s">
        <v>54</v>
      </c>
      <c r="F23" s="53" t="s">
        <v>801</v>
      </c>
      <c r="G23" s="53" t="s">
        <v>802</v>
      </c>
      <c r="H23" s="65" t="s">
        <v>3919</v>
      </c>
    </row>
    <row r="24" spans="1:8" ht="27" thickBot="1">
      <c r="A24" s="51">
        <v>23</v>
      </c>
      <c r="B24" s="52">
        <v>7</v>
      </c>
      <c r="C24" s="53" t="s">
        <v>3889</v>
      </c>
      <c r="D24" s="53" t="s">
        <v>803</v>
      </c>
      <c r="E24" s="57" t="s">
        <v>804</v>
      </c>
      <c r="F24" s="53" t="s">
        <v>805</v>
      </c>
      <c r="G24" s="53" t="s">
        <v>3918</v>
      </c>
      <c r="H24" s="53" t="s">
        <v>3907</v>
      </c>
    </row>
    <row r="25" spans="1:8" ht="27" thickBot="1">
      <c r="A25" s="51">
        <v>24</v>
      </c>
      <c r="B25" s="52">
        <v>12</v>
      </c>
      <c r="C25" s="53" t="s">
        <v>1217</v>
      </c>
      <c r="D25" s="53" t="s">
        <v>806</v>
      </c>
      <c r="E25" s="59" t="s">
        <v>74</v>
      </c>
      <c r="F25" s="53" t="s">
        <v>807</v>
      </c>
      <c r="G25" s="53" t="s">
        <v>3920</v>
      </c>
      <c r="H25" s="53" t="s">
        <v>3921</v>
      </c>
    </row>
    <row r="26" spans="1:8" ht="27" thickBot="1">
      <c r="A26" s="51">
        <v>25</v>
      </c>
      <c r="B26" s="52">
        <v>10</v>
      </c>
      <c r="C26" s="53" t="s">
        <v>3896</v>
      </c>
      <c r="D26" s="53" t="s">
        <v>808</v>
      </c>
      <c r="E26" s="61" t="s">
        <v>105</v>
      </c>
      <c r="F26" s="53" t="s">
        <v>809</v>
      </c>
      <c r="G26" s="53" t="s">
        <v>1574</v>
      </c>
      <c r="H26" s="57" t="s">
        <v>3922</v>
      </c>
    </row>
    <row r="27" spans="1:8" ht="40.200000000000003" thickBot="1">
      <c r="A27" s="51">
        <v>26</v>
      </c>
      <c r="B27" s="52">
        <v>7</v>
      </c>
      <c r="C27" s="53" t="s">
        <v>3889</v>
      </c>
      <c r="D27" s="53" t="s">
        <v>810</v>
      </c>
      <c r="E27" s="56" t="s">
        <v>12</v>
      </c>
      <c r="F27" s="53" t="s">
        <v>811</v>
      </c>
      <c r="G27" s="53" t="s">
        <v>812</v>
      </c>
      <c r="H27" s="56" t="s">
        <v>87</v>
      </c>
    </row>
    <row r="28" spans="1:8" ht="27" thickBot="1">
      <c r="A28" s="51">
        <v>27</v>
      </c>
      <c r="B28" s="52">
        <v>2</v>
      </c>
      <c r="C28" s="53" t="s">
        <v>3886</v>
      </c>
      <c r="D28" s="53" t="s">
        <v>813</v>
      </c>
      <c r="E28" s="56" t="s">
        <v>12</v>
      </c>
      <c r="F28" s="53" t="s">
        <v>814</v>
      </c>
      <c r="G28" s="53" t="s">
        <v>815</v>
      </c>
      <c r="H28" s="62" t="s">
        <v>94</v>
      </c>
    </row>
    <row r="29" spans="1:8" ht="27" thickBot="1">
      <c r="A29" s="51">
        <v>28</v>
      </c>
      <c r="B29" s="52">
        <v>6</v>
      </c>
      <c r="C29" s="53" t="s">
        <v>3912</v>
      </c>
      <c r="D29" s="53" t="s">
        <v>816</v>
      </c>
      <c r="E29" s="56" t="s">
        <v>12</v>
      </c>
      <c r="F29" s="53" t="s">
        <v>817</v>
      </c>
      <c r="G29" s="53" t="s">
        <v>3923</v>
      </c>
      <c r="H29" s="56" t="s">
        <v>87</v>
      </c>
    </row>
    <row r="30" spans="1:8" ht="27" thickBot="1">
      <c r="A30" s="51">
        <v>29</v>
      </c>
      <c r="B30" s="52">
        <v>2</v>
      </c>
      <c r="C30" s="53" t="s">
        <v>3886</v>
      </c>
      <c r="D30" s="53" t="s">
        <v>818</v>
      </c>
      <c r="E30" s="60" t="s">
        <v>819</v>
      </c>
      <c r="F30" s="53" t="s">
        <v>820</v>
      </c>
      <c r="G30" s="53" t="s">
        <v>3924</v>
      </c>
      <c r="H30" s="53" t="s">
        <v>3907</v>
      </c>
    </row>
    <row r="31" spans="1:8" ht="27" thickBot="1">
      <c r="A31" s="51">
        <v>30</v>
      </c>
      <c r="B31" s="52">
        <v>8</v>
      </c>
      <c r="C31" s="53" t="s">
        <v>3891</v>
      </c>
      <c r="D31" s="53" t="s">
        <v>821</v>
      </c>
      <c r="E31" s="60" t="s">
        <v>819</v>
      </c>
      <c r="F31" s="53" t="s">
        <v>822</v>
      </c>
      <c r="G31" s="53" t="s">
        <v>3924</v>
      </c>
      <c r="H31" s="53" t="s">
        <v>3907</v>
      </c>
    </row>
    <row r="32" spans="1:8" ht="27" thickBot="1">
      <c r="A32" s="55">
        <v>31</v>
      </c>
      <c r="B32" s="52">
        <v>6</v>
      </c>
      <c r="C32" s="53" t="s">
        <v>3912</v>
      </c>
      <c r="D32" s="53" t="s">
        <v>823</v>
      </c>
      <c r="E32" s="54" t="s">
        <v>23</v>
      </c>
      <c r="F32" s="53" t="s">
        <v>824</v>
      </c>
      <c r="G32" s="53" t="s">
        <v>825</v>
      </c>
      <c r="H32" s="56" t="s">
        <v>3903</v>
      </c>
    </row>
    <row r="33" spans="1:8" ht="40.200000000000003" thickBot="1">
      <c r="A33" s="51">
        <v>32</v>
      </c>
      <c r="B33" s="52">
        <v>6</v>
      </c>
      <c r="C33" s="53" t="s">
        <v>3912</v>
      </c>
      <c r="D33" s="63" t="s">
        <v>826</v>
      </c>
      <c r="E33" s="66" t="s">
        <v>27</v>
      </c>
      <c r="F33" s="53" t="s">
        <v>120</v>
      </c>
      <c r="G33" s="53" t="s">
        <v>827</v>
      </c>
      <c r="H33" s="53" t="s">
        <v>3907</v>
      </c>
    </row>
    <row r="34" spans="1:8" ht="79.8" thickBot="1">
      <c r="A34" s="51">
        <v>33</v>
      </c>
      <c r="B34" s="52">
        <v>7</v>
      </c>
      <c r="C34" s="53" t="s">
        <v>3889</v>
      </c>
      <c r="D34" s="53" t="s">
        <v>828</v>
      </c>
      <c r="E34" s="66" t="s">
        <v>27</v>
      </c>
      <c r="F34" s="53" t="s">
        <v>120</v>
      </c>
      <c r="G34" s="53" t="s">
        <v>829</v>
      </c>
      <c r="H34" s="53" t="s">
        <v>3907</v>
      </c>
    </row>
    <row r="35" spans="1:8" ht="27" thickBot="1">
      <c r="A35" s="51">
        <v>34</v>
      </c>
      <c r="B35" s="52">
        <v>5</v>
      </c>
      <c r="C35" s="53" t="s">
        <v>830</v>
      </c>
      <c r="D35" s="53" t="s">
        <v>831</v>
      </c>
      <c r="E35" s="56" t="s">
        <v>12</v>
      </c>
      <c r="F35" s="53" t="s">
        <v>832</v>
      </c>
      <c r="G35" s="53" t="s">
        <v>3925</v>
      </c>
      <c r="H35" s="56" t="s">
        <v>87</v>
      </c>
    </row>
    <row r="36" spans="1:8" ht="27" thickBot="1">
      <c r="A36" s="51">
        <v>35</v>
      </c>
      <c r="B36" s="52">
        <v>12</v>
      </c>
      <c r="C36" s="53" t="s">
        <v>1217</v>
      </c>
      <c r="D36" s="53" t="s">
        <v>833</v>
      </c>
      <c r="E36" s="54" t="s">
        <v>23</v>
      </c>
      <c r="F36" s="53" t="s">
        <v>834</v>
      </c>
      <c r="G36" s="53" t="s">
        <v>3926</v>
      </c>
      <c r="H36" s="62" t="s">
        <v>94</v>
      </c>
    </row>
    <row r="37" spans="1:8" ht="27" thickBot="1">
      <c r="A37" s="51">
        <v>36</v>
      </c>
      <c r="B37" s="52">
        <v>8</v>
      </c>
      <c r="C37" s="53" t="s">
        <v>3891</v>
      </c>
      <c r="D37" s="53" t="s">
        <v>127</v>
      </c>
      <c r="E37" s="56" t="s">
        <v>12</v>
      </c>
      <c r="F37" s="53" t="s">
        <v>128</v>
      </c>
      <c r="G37" s="53" t="s">
        <v>835</v>
      </c>
      <c r="H37" s="56" t="s">
        <v>87</v>
      </c>
    </row>
    <row r="38" spans="1:8" ht="27" thickBot="1">
      <c r="A38" s="51">
        <v>37</v>
      </c>
      <c r="B38" s="52">
        <v>1</v>
      </c>
      <c r="C38" s="53" t="s">
        <v>765</v>
      </c>
      <c r="D38" s="53" t="s">
        <v>836</v>
      </c>
      <c r="E38" s="56" t="s">
        <v>12</v>
      </c>
      <c r="F38" s="53" t="s">
        <v>837</v>
      </c>
      <c r="G38" s="53" t="s">
        <v>3927</v>
      </c>
      <c r="H38" s="67" t="s">
        <v>150</v>
      </c>
    </row>
    <row r="39" spans="1:8" ht="27" thickBot="1">
      <c r="A39" s="51">
        <v>38</v>
      </c>
      <c r="B39" s="52">
        <v>11</v>
      </c>
      <c r="C39" s="53" t="s">
        <v>838</v>
      </c>
      <c r="D39" s="53" t="s">
        <v>839</v>
      </c>
      <c r="E39" s="56" t="s">
        <v>12</v>
      </c>
      <c r="F39" s="53" t="s">
        <v>840</v>
      </c>
      <c r="G39" s="53" t="s">
        <v>3928</v>
      </c>
      <c r="H39" s="62" t="s">
        <v>94</v>
      </c>
    </row>
    <row r="40" spans="1:8" ht="27" thickBot="1">
      <c r="A40" s="51">
        <v>39</v>
      </c>
      <c r="B40" s="52">
        <v>8</v>
      </c>
      <c r="C40" s="53" t="s">
        <v>3891</v>
      </c>
      <c r="D40" s="53" t="s">
        <v>841</v>
      </c>
      <c r="E40" s="54" t="s">
        <v>23</v>
      </c>
      <c r="F40" s="53" t="s">
        <v>842</v>
      </c>
      <c r="G40" s="53" t="s">
        <v>3929</v>
      </c>
      <c r="H40" s="58" t="s">
        <v>90</v>
      </c>
    </row>
    <row r="41" spans="1:8" ht="27" thickBot="1">
      <c r="A41" s="51">
        <v>40</v>
      </c>
      <c r="B41" s="52">
        <v>14</v>
      </c>
      <c r="C41" s="53" t="s">
        <v>3900</v>
      </c>
      <c r="D41" s="53" t="s">
        <v>843</v>
      </c>
      <c r="E41" s="54" t="s">
        <v>23</v>
      </c>
      <c r="F41" s="53" t="s">
        <v>844</v>
      </c>
      <c r="G41" s="53" t="s">
        <v>3930</v>
      </c>
      <c r="H41" s="58" t="s">
        <v>90</v>
      </c>
    </row>
    <row r="42" spans="1:8" ht="27" thickBot="1">
      <c r="A42" s="51">
        <v>41</v>
      </c>
      <c r="B42" s="52">
        <v>15</v>
      </c>
      <c r="C42" s="53" t="s">
        <v>789</v>
      </c>
      <c r="D42" s="53" t="s">
        <v>845</v>
      </c>
      <c r="E42" s="56" t="s">
        <v>12</v>
      </c>
      <c r="F42" s="53" t="s">
        <v>846</v>
      </c>
      <c r="G42" s="53" t="s">
        <v>3931</v>
      </c>
      <c r="H42" s="62" t="s">
        <v>94</v>
      </c>
    </row>
    <row r="43" spans="1:8" ht="27" thickBot="1">
      <c r="A43" s="51">
        <v>42</v>
      </c>
      <c r="B43" s="52">
        <v>9</v>
      </c>
      <c r="C43" s="53" t="s">
        <v>847</v>
      </c>
      <c r="D43" s="53" t="s">
        <v>848</v>
      </c>
      <c r="E43" s="61" t="s">
        <v>105</v>
      </c>
      <c r="F43" s="53" t="s">
        <v>849</v>
      </c>
      <c r="G43" s="53" t="s">
        <v>3932</v>
      </c>
      <c r="H43" s="57" t="s">
        <v>3894</v>
      </c>
    </row>
    <row r="44" spans="1:8" ht="27" thickBot="1">
      <c r="A44" s="51">
        <v>43</v>
      </c>
      <c r="B44" s="52">
        <v>15</v>
      </c>
      <c r="C44" s="53" t="s">
        <v>789</v>
      </c>
      <c r="D44" s="53" t="s">
        <v>850</v>
      </c>
      <c r="E44" s="54" t="s">
        <v>23</v>
      </c>
      <c r="F44" s="53" t="s">
        <v>851</v>
      </c>
      <c r="G44" s="53" t="s">
        <v>852</v>
      </c>
      <c r="H44" s="58" t="s">
        <v>90</v>
      </c>
    </row>
    <row r="45" spans="1:8" ht="27" thickBot="1">
      <c r="A45" s="51">
        <v>44</v>
      </c>
      <c r="B45" s="52">
        <v>13</v>
      </c>
      <c r="C45" s="53" t="s">
        <v>760</v>
      </c>
      <c r="D45" s="53" t="s">
        <v>853</v>
      </c>
      <c r="E45" s="56" t="s">
        <v>12</v>
      </c>
      <c r="F45" s="53" t="s">
        <v>854</v>
      </c>
      <c r="G45" s="53" t="s">
        <v>3933</v>
      </c>
      <c r="H45" s="56" t="s">
        <v>3934</v>
      </c>
    </row>
    <row r="46" spans="1:8" ht="13.8" thickBot="1">
      <c r="A46" s="51">
        <v>45</v>
      </c>
      <c r="B46" s="52">
        <v>9</v>
      </c>
      <c r="C46" s="53" t="s">
        <v>847</v>
      </c>
      <c r="D46" s="53" t="s">
        <v>855</v>
      </c>
      <c r="E46" s="54" t="s">
        <v>23</v>
      </c>
      <c r="F46" s="53" t="s">
        <v>856</v>
      </c>
      <c r="G46" s="53" t="s">
        <v>3935</v>
      </c>
      <c r="H46" s="68" t="s">
        <v>64</v>
      </c>
    </row>
    <row r="47" spans="1:8" ht="27" thickBot="1">
      <c r="A47" s="55">
        <v>46</v>
      </c>
      <c r="B47" s="52">
        <v>1</v>
      </c>
      <c r="C47" s="53" t="s">
        <v>765</v>
      </c>
      <c r="D47" s="53" t="s">
        <v>194</v>
      </c>
      <c r="E47" s="57" t="s">
        <v>804</v>
      </c>
      <c r="F47" s="53" t="s">
        <v>195</v>
      </c>
      <c r="G47" s="53" t="s">
        <v>857</v>
      </c>
      <c r="H47" s="53" t="s">
        <v>3907</v>
      </c>
    </row>
    <row r="48" spans="1:8" ht="27" thickBot="1">
      <c r="A48" s="51">
        <v>47</v>
      </c>
      <c r="B48" s="52">
        <v>5</v>
      </c>
      <c r="C48" s="53" t="s">
        <v>830</v>
      </c>
      <c r="D48" s="53" t="s">
        <v>858</v>
      </c>
      <c r="E48" s="57" t="s">
        <v>3936</v>
      </c>
      <c r="F48" s="53" t="s">
        <v>859</v>
      </c>
      <c r="G48" s="53" t="s">
        <v>860</v>
      </c>
      <c r="H48" s="53" t="s">
        <v>3907</v>
      </c>
    </row>
    <row r="49" spans="1:26" ht="27" thickBot="1">
      <c r="A49" s="55">
        <v>48</v>
      </c>
      <c r="B49" s="52">
        <v>4</v>
      </c>
      <c r="C49" s="53" t="s">
        <v>3892</v>
      </c>
      <c r="D49" s="53" t="s">
        <v>861</v>
      </c>
      <c r="E49" s="59" t="s">
        <v>74</v>
      </c>
      <c r="F49" s="53" t="s">
        <v>862</v>
      </c>
      <c r="G49" s="53" t="s">
        <v>3937</v>
      </c>
      <c r="H49" s="53" t="s">
        <v>3907</v>
      </c>
    </row>
    <row r="50" spans="1:26" ht="27" thickBot="1">
      <c r="A50" s="51">
        <v>49</v>
      </c>
      <c r="B50" s="52">
        <v>2</v>
      </c>
      <c r="C50" s="53" t="s">
        <v>3886</v>
      </c>
      <c r="D50" s="53" t="s">
        <v>863</v>
      </c>
      <c r="E50" s="54" t="s">
        <v>23</v>
      </c>
      <c r="F50" s="53" t="s">
        <v>864</v>
      </c>
      <c r="G50" s="53" t="s">
        <v>3938</v>
      </c>
      <c r="H50" s="62" t="s">
        <v>94</v>
      </c>
    </row>
    <row r="51" spans="1:26" ht="27" thickBot="1">
      <c r="A51" s="51">
        <v>50</v>
      </c>
      <c r="B51" s="52">
        <v>6</v>
      </c>
      <c r="C51" s="53" t="s">
        <v>3912</v>
      </c>
      <c r="D51" s="53" t="s">
        <v>865</v>
      </c>
      <c r="E51" s="56" t="s">
        <v>12</v>
      </c>
      <c r="F51" s="53" t="s">
        <v>866</v>
      </c>
      <c r="G51" s="53" t="s">
        <v>3939</v>
      </c>
      <c r="H51" s="62" t="s">
        <v>94</v>
      </c>
    </row>
    <row r="52" spans="1:26" ht="27" thickBot="1">
      <c r="A52" s="51">
        <v>51</v>
      </c>
      <c r="B52" s="52">
        <v>2</v>
      </c>
      <c r="C52" s="53" t="s">
        <v>3886</v>
      </c>
      <c r="D52" s="53" t="s">
        <v>867</v>
      </c>
      <c r="E52" s="56" t="s">
        <v>12</v>
      </c>
      <c r="F52" s="53" t="s">
        <v>868</v>
      </c>
      <c r="G52" s="53" t="s">
        <v>3940</v>
      </c>
      <c r="H52" s="62" t="s">
        <v>94</v>
      </c>
    </row>
    <row r="53" spans="1:26" ht="27" thickBot="1">
      <c r="A53" s="51">
        <v>52</v>
      </c>
      <c r="B53" s="52">
        <v>14</v>
      </c>
      <c r="C53" s="53" t="s">
        <v>3900</v>
      </c>
      <c r="D53" s="53" t="s">
        <v>869</v>
      </c>
      <c r="E53" s="56" t="s">
        <v>12</v>
      </c>
      <c r="F53" s="53" t="s">
        <v>870</v>
      </c>
      <c r="G53" s="53" t="s">
        <v>871</v>
      </c>
      <c r="H53" s="61" t="s">
        <v>34</v>
      </c>
    </row>
    <row r="54" spans="1:26" ht="27" thickBot="1">
      <c r="A54" s="51">
        <v>53</v>
      </c>
      <c r="B54" s="52">
        <v>4</v>
      </c>
      <c r="C54" s="53" t="s">
        <v>3892</v>
      </c>
      <c r="D54" s="53" t="s">
        <v>872</v>
      </c>
      <c r="E54" s="56" t="s">
        <v>12</v>
      </c>
      <c r="F54" s="53" t="s">
        <v>873</v>
      </c>
      <c r="G54" s="53" t="s">
        <v>874</v>
      </c>
      <c r="H54" s="62" t="s">
        <v>94</v>
      </c>
    </row>
    <row r="55" spans="1:26" ht="27" thickBot="1">
      <c r="A55" s="51">
        <v>54</v>
      </c>
      <c r="B55" s="52">
        <v>4</v>
      </c>
      <c r="C55" s="53" t="s">
        <v>3892</v>
      </c>
      <c r="D55" s="53" t="s">
        <v>865</v>
      </c>
      <c r="E55" s="66" t="s">
        <v>27</v>
      </c>
      <c r="F55" s="53" t="s">
        <v>875</v>
      </c>
      <c r="G55" s="53" t="s">
        <v>3941</v>
      </c>
      <c r="H55" s="62" t="s">
        <v>94</v>
      </c>
    </row>
    <row r="56" spans="1:26" ht="27" thickBot="1">
      <c r="A56" s="51">
        <v>55</v>
      </c>
      <c r="B56" s="53" t="s">
        <v>876</v>
      </c>
      <c r="C56" s="53" t="s">
        <v>3896</v>
      </c>
      <c r="D56" s="53" t="s">
        <v>877</v>
      </c>
      <c r="E56" s="60" t="s">
        <v>819</v>
      </c>
      <c r="F56" s="53" t="s">
        <v>878</v>
      </c>
      <c r="G56" s="53" t="s">
        <v>879</v>
      </c>
      <c r="H56" s="53" t="s">
        <v>3907</v>
      </c>
    </row>
    <row r="57" spans="1:26" ht="27" thickBot="1">
      <c r="A57" s="55">
        <v>56</v>
      </c>
      <c r="B57" s="52">
        <v>12</v>
      </c>
      <c r="C57" s="53" t="s">
        <v>1217</v>
      </c>
      <c r="D57" s="53" t="s">
        <v>213</v>
      </c>
      <c r="E57" s="59" t="s">
        <v>74</v>
      </c>
      <c r="F57" s="53" t="s">
        <v>214</v>
      </c>
      <c r="G57" s="53" t="s">
        <v>880</v>
      </c>
      <c r="H57" s="53" t="s">
        <v>3907</v>
      </c>
    </row>
    <row r="58" spans="1:26" ht="27" thickBot="1">
      <c r="A58" s="51">
        <v>57</v>
      </c>
      <c r="B58" s="52">
        <v>15</v>
      </c>
      <c r="C58" s="53" t="s">
        <v>789</v>
      </c>
      <c r="D58" s="53" t="s">
        <v>881</v>
      </c>
      <c r="E58" s="56" t="s">
        <v>12</v>
      </c>
      <c r="F58" s="53" t="s">
        <v>882</v>
      </c>
      <c r="G58" s="53" t="s">
        <v>3942</v>
      </c>
      <c r="H58" s="57" t="s">
        <v>3943</v>
      </c>
    </row>
    <row r="59" spans="1:26" ht="27" thickBot="1">
      <c r="A59" s="51">
        <v>58</v>
      </c>
      <c r="B59" s="52">
        <v>4</v>
      </c>
      <c r="C59" s="53" t="s">
        <v>3892</v>
      </c>
      <c r="D59" s="53" t="s">
        <v>883</v>
      </c>
      <c r="E59" s="54" t="s">
        <v>23</v>
      </c>
      <c r="F59" s="53" t="s">
        <v>884</v>
      </c>
      <c r="G59" s="53" t="s">
        <v>3944</v>
      </c>
      <c r="H59" s="57" t="s">
        <v>3943</v>
      </c>
    </row>
    <row r="60" spans="1:26" ht="27" thickBot="1">
      <c r="A60" s="51">
        <v>59</v>
      </c>
      <c r="B60" s="52">
        <v>4</v>
      </c>
      <c r="C60" s="53" t="s">
        <v>3892</v>
      </c>
      <c r="D60" s="53" t="s">
        <v>885</v>
      </c>
      <c r="E60" s="54" t="s">
        <v>23</v>
      </c>
      <c r="F60" s="53" t="s">
        <v>886</v>
      </c>
      <c r="G60" s="53" t="s">
        <v>3945</v>
      </c>
      <c r="H60" s="57" t="s">
        <v>3943</v>
      </c>
    </row>
    <row r="61" spans="1:26" ht="13.8" thickBot="1">
      <c r="A61" s="51">
        <v>60</v>
      </c>
      <c r="B61" s="52">
        <v>10</v>
      </c>
      <c r="C61" s="53" t="s">
        <v>3896</v>
      </c>
      <c r="D61" s="53" t="s">
        <v>887</v>
      </c>
      <c r="E61" s="54" t="s">
        <v>23</v>
      </c>
      <c r="F61" s="53" t="s">
        <v>888</v>
      </c>
      <c r="G61" s="53" t="s">
        <v>889</v>
      </c>
      <c r="H61" s="69" t="s">
        <v>60</v>
      </c>
    </row>
    <row r="62" spans="1:26" ht="13.8" thickBot="1">
      <c r="A62" s="70">
        <v>61</v>
      </c>
      <c r="B62" s="71">
        <v>8</v>
      </c>
      <c r="C62" s="63"/>
      <c r="D62" s="63" t="s">
        <v>890</v>
      </c>
      <c r="E62" s="72" t="s">
        <v>23</v>
      </c>
      <c r="F62" s="63" t="s">
        <v>891</v>
      </c>
      <c r="G62" s="63" t="s">
        <v>892</v>
      </c>
      <c r="H62" s="60" t="s">
        <v>48</v>
      </c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</row>
    <row r="63" spans="1:26" ht="27" thickBot="1">
      <c r="A63" s="51">
        <v>62</v>
      </c>
      <c r="B63" s="52">
        <v>6</v>
      </c>
      <c r="C63" s="53" t="s">
        <v>3912</v>
      </c>
      <c r="D63" s="53" t="s">
        <v>893</v>
      </c>
      <c r="E63" s="56" t="s">
        <v>3946</v>
      </c>
      <c r="F63" s="53" t="s">
        <v>895</v>
      </c>
      <c r="G63" s="53" t="s">
        <v>896</v>
      </c>
      <c r="H63" s="56" t="s">
        <v>3903</v>
      </c>
    </row>
    <row r="64" spans="1:26" ht="27" thickBot="1">
      <c r="A64" s="51">
        <v>63</v>
      </c>
      <c r="B64" s="52">
        <v>6</v>
      </c>
      <c r="C64" s="53" t="s">
        <v>3912</v>
      </c>
      <c r="D64" s="53" t="s">
        <v>897</v>
      </c>
      <c r="E64" s="54" t="s">
        <v>23</v>
      </c>
      <c r="F64" s="53" t="s">
        <v>898</v>
      </c>
      <c r="G64" s="53" t="s">
        <v>899</v>
      </c>
      <c r="H64" s="60" t="s">
        <v>48</v>
      </c>
    </row>
    <row r="65" spans="1:8" ht="27" thickBot="1">
      <c r="A65" s="51">
        <v>64</v>
      </c>
      <c r="B65" s="52">
        <v>9</v>
      </c>
      <c r="C65" s="53" t="s">
        <v>847</v>
      </c>
      <c r="D65" s="53" t="s">
        <v>900</v>
      </c>
      <c r="E65" s="61" t="s">
        <v>105</v>
      </c>
      <c r="F65" s="53" t="s">
        <v>901</v>
      </c>
      <c r="G65" s="53" t="s">
        <v>3947</v>
      </c>
      <c r="H65" s="57" t="s">
        <v>3911</v>
      </c>
    </row>
    <row r="66" spans="1:8" ht="27" thickBot="1">
      <c r="A66" s="51">
        <v>65</v>
      </c>
      <c r="B66" s="52">
        <v>3</v>
      </c>
      <c r="C66" s="53" t="s">
        <v>778</v>
      </c>
      <c r="D66" s="53" t="s">
        <v>902</v>
      </c>
      <c r="E66" s="56" t="s">
        <v>12</v>
      </c>
      <c r="F66" s="53" t="s">
        <v>903</v>
      </c>
      <c r="G66" s="53" t="s">
        <v>3948</v>
      </c>
      <c r="H66" s="62" t="s">
        <v>94</v>
      </c>
    </row>
    <row r="67" spans="1:8" ht="27" thickBot="1">
      <c r="A67" s="51">
        <v>66</v>
      </c>
      <c r="B67" s="52">
        <v>3</v>
      </c>
      <c r="C67" s="53" t="s">
        <v>778</v>
      </c>
      <c r="D67" s="53" t="s">
        <v>904</v>
      </c>
      <c r="E67" s="56" t="s">
        <v>12</v>
      </c>
      <c r="F67" s="53" t="s">
        <v>905</v>
      </c>
      <c r="G67" s="53" t="s">
        <v>3949</v>
      </c>
      <c r="H67" s="62" t="s">
        <v>94</v>
      </c>
    </row>
    <row r="68" spans="1:8" ht="27" thickBot="1">
      <c r="A68" s="51">
        <v>67</v>
      </c>
      <c r="B68" s="52">
        <v>15</v>
      </c>
      <c r="C68" s="53" t="s">
        <v>789</v>
      </c>
      <c r="D68" s="53" t="s">
        <v>243</v>
      </c>
      <c r="E68" s="54" t="s">
        <v>23</v>
      </c>
      <c r="F68" s="53" t="s">
        <v>244</v>
      </c>
      <c r="G68" s="53" t="s">
        <v>3950</v>
      </c>
      <c r="H68" s="58" t="s">
        <v>90</v>
      </c>
    </row>
    <row r="69" spans="1:8" ht="27" thickBot="1">
      <c r="A69" s="51">
        <v>68</v>
      </c>
      <c r="B69" s="52">
        <v>15</v>
      </c>
      <c r="C69" s="53" t="s">
        <v>789</v>
      </c>
      <c r="D69" s="53" t="s">
        <v>906</v>
      </c>
      <c r="E69" s="54" t="s">
        <v>23</v>
      </c>
      <c r="F69" s="53" t="s">
        <v>907</v>
      </c>
      <c r="G69" s="53" t="s">
        <v>3951</v>
      </c>
      <c r="H69" s="60" t="s">
        <v>48</v>
      </c>
    </row>
    <row r="70" spans="1:8" ht="27" thickBot="1">
      <c r="A70" s="51">
        <v>69</v>
      </c>
      <c r="B70" s="52">
        <v>8</v>
      </c>
      <c r="C70" s="53" t="s">
        <v>3891</v>
      </c>
      <c r="D70" s="53" t="s">
        <v>908</v>
      </c>
      <c r="E70" s="56" t="s">
        <v>12</v>
      </c>
      <c r="F70" s="53" t="s">
        <v>909</v>
      </c>
      <c r="G70" s="53" t="s">
        <v>3952</v>
      </c>
      <c r="H70" s="67" t="s">
        <v>150</v>
      </c>
    </row>
    <row r="71" spans="1:8" ht="40.200000000000003" thickBot="1">
      <c r="A71" s="51">
        <v>70</v>
      </c>
      <c r="B71" s="52">
        <v>2</v>
      </c>
      <c r="C71" s="53" t="s">
        <v>3886</v>
      </c>
      <c r="D71" s="53" t="s">
        <v>910</v>
      </c>
      <c r="E71" s="64" t="s">
        <v>54</v>
      </c>
      <c r="F71" s="53" t="s">
        <v>911</v>
      </c>
      <c r="G71" s="53" t="s">
        <v>912</v>
      </c>
      <c r="H71" s="65" t="s">
        <v>3919</v>
      </c>
    </row>
    <row r="72" spans="1:8" ht="27" thickBot="1">
      <c r="A72" s="51">
        <v>71</v>
      </c>
      <c r="B72" s="52">
        <v>13</v>
      </c>
      <c r="C72" s="53" t="s">
        <v>760</v>
      </c>
      <c r="D72" s="53" t="s">
        <v>913</v>
      </c>
      <c r="E72" s="56" t="s">
        <v>12</v>
      </c>
      <c r="F72" s="53" t="s">
        <v>914</v>
      </c>
      <c r="G72" s="53" t="s">
        <v>915</v>
      </c>
      <c r="H72" s="59" t="s">
        <v>3953</v>
      </c>
    </row>
    <row r="73" spans="1:8" ht="27" thickBot="1">
      <c r="A73" s="51">
        <v>72</v>
      </c>
      <c r="B73" s="52">
        <v>2</v>
      </c>
      <c r="C73" s="53" t="s">
        <v>3886</v>
      </c>
      <c r="D73" s="53" t="s">
        <v>916</v>
      </c>
      <c r="E73" s="54" t="s">
        <v>23</v>
      </c>
      <c r="F73" s="53" t="s">
        <v>917</v>
      </c>
      <c r="G73" s="53" t="s">
        <v>3954</v>
      </c>
      <c r="H73" s="58" t="s">
        <v>90</v>
      </c>
    </row>
    <row r="74" spans="1:8" ht="27" thickBot="1">
      <c r="A74" s="51">
        <v>73</v>
      </c>
      <c r="B74" s="52">
        <v>1</v>
      </c>
      <c r="C74" s="53" t="s">
        <v>765</v>
      </c>
      <c r="D74" s="53" t="s">
        <v>918</v>
      </c>
      <c r="E74" s="56" t="s">
        <v>12</v>
      </c>
      <c r="F74" s="53" t="s">
        <v>267</v>
      </c>
      <c r="G74" s="53" t="s">
        <v>919</v>
      </c>
      <c r="H74" s="62" t="s">
        <v>94</v>
      </c>
    </row>
    <row r="75" spans="1:8" ht="27" thickBot="1">
      <c r="A75" s="51">
        <v>74</v>
      </c>
      <c r="B75" s="52">
        <v>1</v>
      </c>
      <c r="C75" s="53" t="s">
        <v>765</v>
      </c>
      <c r="D75" s="53" t="s">
        <v>920</v>
      </c>
      <c r="E75" s="56" t="s">
        <v>12</v>
      </c>
      <c r="F75" s="53" t="s">
        <v>921</v>
      </c>
      <c r="G75" s="53" t="s">
        <v>3955</v>
      </c>
      <c r="H75" s="73" t="s">
        <v>3956</v>
      </c>
    </row>
    <row r="76" spans="1:8" ht="27" thickBot="1">
      <c r="A76" s="51">
        <v>75</v>
      </c>
      <c r="B76" s="52">
        <v>11</v>
      </c>
      <c r="C76" s="53" t="s">
        <v>838</v>
      </c>
      <c r="D76" s="53" t="s">
        <v>922</v>
      </c>
      <c r="E76" s="56" t="s">
        <v>12</v>
      </c>
      <c r="F76" s="53" t="s">
        <v>923</v>
      </c>
      <c r="G76" s="53" t="s">
        <v>3957</v>
      </c>
      <c r="H76" s="62" t="s">
        <v>94</v>
      </c>
    </row>
    <row r="77" spans="1:8" ht="27" thickBot="1">
      <c r="A77" s="51">
        <v>76</v>
      </c>
      <c r="B77" s="52">
        <v>5</v>
      </c>
      <c r="C77" s="53" t="s">
        <v>830</v>
      </c>
      <c r="D77" s="53" t="s">
        <v>924</v>
      </c>
      <c r="E77" s="56" t="s">
        <v>12</v>
      </c>
      <c r="F77" s="53" t="s">
        <v>925</v>
      </c>
      <c r="G77" s="53" t="s">
        <v>926</v>
      </c>
      <c r="H77" s="62" t="s">
        <v>94</v>
      </c>
    </row>
    <row r="78" spans="1:8" ht="27" thickBot="1">
      <c r="A78" s="51">
        <v>77</v>
      </c>
      <c r="B78" s="52">
        <v>4</v>
      </c>
      <c r="C78" s="53" t="s">
        <v>3892</v>
      </c>
      <c r="D78" s="53" t="s">
        <v>927</v>
      </c>
      <c r="E78" s="56" t="s">
        <v>12</v>
      </c>
      <c r="F78" s="53" t="s">
        <v>928</v>
      </c>
      <c r="G78" s="53" t="s">
        <v>3957</v>
      </c>
      <c r="H78" s="62" t="s">
        <v>94</v>
      </c>
    </row>
    <row r="79" spans="1:8" ht="27" thickBot="1">
      <c r="A79" s="51">
        <v>78</v>
      </c>
      <c r="B79" s="52">
        <v>9</v>
      </c>
      <c r="C79" s="53" t="s">
        <v>847</v>
      </c>
      <c r="D79" s="53" t="s">
        <v>929</v>
      </c>
      <c r="E79" s="61" t="s">
        <v>105</v>
      </c>
      <c r="F79" s="53" t="s">
        <v>923</v>
      </c>
      <c r="G79" s="53" t="s">
        <v>930</v>
      </c>
      <c r="H79" s="69" t="s">
        <v>3958</v>
      </c>
    </row>
    <row r="80" spans="1:8" ht="27" thickBot="1">
      <c r="A80" s="51">
        <v>79</v>
      </c>
      <c r="B80" s="52">
        <v>11</v>
      </c>
      <c r="C80" s="53" t="s">
        <v>838</v>
      </c>
      <c r="D80" s="53" t="s">
        <v>931</v>
      </c>
      <c r="E80" s="59" t="s">
        <v>74</v>
      </c>
      <c r="F80" s="53" t="s">
        <v>932</v>
      </c>
      <c r="G80" s="53" t="s">
        <v>1534</v>
      </c>
      <c r="H80" s="61" t="s">
        <v>34</v>
      </c>
    </row>
    <row r="81" spans="1:8" ht="27" thickBot="1">
      <c r="A81" s="51">
        <v>80</v>
      </c>
      <c r="B81" s="52">
        <v>5</v>
      </c>
      <c r="C81" s="53" t="s">
        <v>830</v>
      </c>
      <c r="D81" s="53" t="s">
        <v>933</v>
      </c>
      <c r="E81" s="54" t="s">
        <v>23</v>
      </c>
      <c r="F81" s="53" t="s">
        <v>934</v>
      </c>
      <c r="G81" s="53" t="s">
        <v>3959</v>
      </c>
      <c r="H81" s="58" t="s">
        <v>90</v>
      </c>
    </row>
    <row r="82" spans="1:8" ht="27" thickBot="1">
      <c r="A82" s="51">
        <v>81</v>
      </c>
      <c r="B82" s="52">
        <v>1</v>
      </c>
      <c r="C82" s="53" t="s">
        <v>765</v>
      </c>
      <c r="D82" s="53" t="s">
        <v>935</v>
      </c>
      <c r="E82" s="59" t="s">
        <v>3960</v>
      </c>
      <c r="F82" s="53" t="s">
        <v>936</v>
      </c>
      <c r="G82" s="53" t="s">
        <v>3961</v>
      </c>
      <c r="H82" s="53" t="s">
        <v>3921</v>
      </c>
    </row>
    <row r="83" spans="1:8" ht="27" thickBot="1">
      <c r="A83" s="51">
        <v>82</v>
      </c>
      <c r="B83" s="52">
        <v>9</v>
      </c>
      <c r="C83" s="53" t="s">
        <v>847</v>
      </c>
      <c r="D83" s="53" t="s">
        <v>937</v>
      </c>
      <c r="E83" s="54" t="s">
        <v>23</v>
      </c>
      <c r="F83" s="53" t="s">
        <v>938</v>
      </c>
      <c r="G83" s="53" t="s">
        <v>3962</v>
      </c>
      <c r="H83" s="60" t="s">
        <v>3963</v>
      </c>
    </row>
    <row r="84" spans="1:8" ht="27" thickBot="1">
      <c r="A84" s="51">
        <v>83</v>
      </c>
      <c r="B84" s="52">
        <v>7</v>
      </c>
      <c r="C84" s="53" t="s">
        <v>3889</v>
      </c>
      <c r="D84" s="53" t="s">
        <v>939</v>
      </c>
      <c r="E84" s="56" t="s">
        <v>3946</v>
      </c>
      <c r="F84" s="53" t="s">
        <v>940</v>
      </c>
      <c r="G84" s="53" t="s">
        <v>941</v>
      </c>
      <c r="H84" s="61" t="s">
        <v>34</v>
      </c>
    </row>
    <row r="85" spans="1:8" ht="27" thickBot="1">
      <c r="A85" s="51">
        <v>84</v>
      </c>
      <c r="B85" s="52">
        <v>10</v>
      </c>
      <c r="C85" s="53" t="s">
        <v>3896</v>
      </c>
      <c r="D85" s="53" t="s">
        <v>942</v>
      </c>
      <c r="E85" s="56" t="s">
        <v>12</v>
      </c>
      <c r="F85" s="53" t="s">
        <v>943</v>
      </c>
      <c r="G85" s="53" t="s">
        <v>944</v>
      </c>
      <c r="H85" s="61" t="s">
        <v>3964</v>
      </c>
    </row>
    <row r="86" spans="1:8" ht="13.8" thickBot="1">
      <c r="A86" s="51">
        <v>85</v>
      </c>
      <c r="B86" s="52">
        <v>10</v>
      </c>
      <c r="C86" s="53" t="s">
        <v>3896</v>
      </c>
      <c r="D86" s="53" t="s">
        <v>945</v>
      </c>
      <c r="E86" s="56" t="s">
        <v>12</v>
      </c>
      <c r="F86" s="53" t="s">
        <v>946</v>
      </c>
      <c r="G86" s="53" t="s">
        <v>1874</v>
      </c>
      <c r="H86" s="56" t="s">
        <v>87</v>
      </c>
    </row>
    <row r="87" spans="1:8" ht="40.200000000000003" thickBot="1">
      <c r="A87" s="51">
        <v>86</v>
      </c>
      <c r="B87" s="52">
        <v>10</v>
      </c>
      <c r="C87" s="53" t="s">
        <v>3896</v>
      </c>
      <c r="D87" s="53" t="s">
        <v>947</v>
      </c>
      <c r="E87" s="54" t="s">
        <v>3890</v>
      </c>
      <c r="F87" s="53" t="s">
        <v>948</v>
      </c>
      <c r="G87" s="53" t="s">
        <v>949</v>
      </c>
      <c r="H87" s="56" t="s">
        <v>87</v>
      </c>
    </row>
    <row r="88" spans="1:8" ht="27" thickBot="1">
      <c r="A88" s="51">
        <v>87</v>
      </c>
      <c r="B88" s="52">
        <v>13</v>
      </c>
      <c r="C88" s="53" t="s">
        <v>760</v>
      </c>
      <c r="D88" s="53" t="s">
        <v>950</v>
      </c>
      <c r="E88" s="56" t="s">
        <v>12</v>
      </c>
      <c r="F88" s="53" t="s">
        <v>951</v>
      </c>
      <c r="G88" s="53" t="s">
        <v>952</v>
      </c>
      <c r="H88" s="53" t="s">
        <v>3907</v>
      </c>
    </row>
    <row r="89" spans="1:8" ht="27" thickBot="1">
      <c r="A89" s="51">
        <v>88</v>
      </c>
      <c r="B89" s="52">
        <v>4</v>
      </c>
      <c r="C89" s="53" t="s">
        <v>3892</v>
      </c>
      <c r="D89" s="53" t="s">
        <v>953</v>
      </c>
      <c r="E89" s="54" t="s">
        <v>23</v>
      </c>
      <c r="F89" s="53" t="s">
        <v>954</v>
      </c>
      <c r="G89" s="53" t="s">
        <v>3965</v>
      </c>
      <c r="H89" s="60" t="s">
        <v>48</v>
      </c>
    </row>
    <row r="90" spans="1:8" ht="27" thickBot="1">
      <c r="A90" s="51">
        <v>89</v>
      </c>
      <c r="B90" s="52">
        <v>5</v>
      </c>
      <c r="C90" s="53" t="s">
        <v>830</v>
      </c>
      <c r="D90" s="53" t="s">
        <v>955</v>
      </c>
      <c r="E90" s="59" t="s">
        <v>3966</v>
      </c>
      <c r="F90" s="53" t="s">
        <v>299</v>
      </c>
      <c r="G90" s="53" t="s">
        <v>3967</v>
      </c>
      <c r="H90" s="57" t="s">
        <v>3943</v>
      </c>
    </row>
    <row r="91" spans="1:8" ht="27" thickBot="1">
      <c r="A91" s="51">
        <v>90</v>
      </c>
      <c r="B91" s="52">
        <v>6</v>
      </c>
      <c r="C91" s="53" t="s">
        <v>3912</v>
      </c>
      <c r="D91" s="53" t="s">
        <v>956</v>
      </c>
      <c r="E91" s="61" t="s">
        <v>105</v>
      </c>
      <c r="F91" s="53" t="s">
        <v>957</v>
      </c>
      <c r="G91" s="53" t="s">
        <v>3968</v>
      </c>
      <c r="H91" s="54" t="s">
        <v>15</v>
      </c>
    </row>
    <row r="92" spans="1:8" ht="13.8" thickBot="1">
      <c r="A92" s="51">
        <v>91</v>
      </c>
      <c r="B92" s="52">
        <v>10</v>
      </c>
      <c r="C92" s="53" t="s">
        <v>3896</v>
      </c>
      <c r="D92" s="53" t="s">
        <v>958</v>
      </c>
      <c r="E92" s="59" t="s">
        <v>74</v>
      </c>
      <c r="F92" s="53" t="s">
        <v>959</v>
      </c>
      <c r="G92" s="53" t="s">
        <v>960</v>
      </c>
      <c r="H92" s="61" t="s">
        <v>34</v>
      </c>
    </row>
    <row r="93" spans="1:8" ht="27" thickBot="1">
      <c r="A93" s="51">
        <v>92</v>
      </c>
      <c r="B93" s="52">
        <v>7</v>
      </c>
      <c r="C93" s="53" t="s">
        <v>3889</v>
      </c>
      <c r="D93" s="53" t="s">
        <v>961</v>
      </c>
      <c r="E93" s="54" t="s">
        <v>23</v>
      </c>
      <c r="F93" s="53" t="s">
        <v>962</v>
      </c>
      <c r="G93" s="53" t="s">
        <v>3969</v>
      </c>
      <c r="H93" s="60" t="s">
        <v>48</v>
      </c>
    </row>
    <row r="94" spans="1:8" ht="27" thickBot="1">
      <c r="A94" s="51">
        <v>93</v>
      </c>
      <c r="B94" s="52">
        <v>3</v>
      </c>
      <c r="C94" s="53" t="s">
        <v>778</v>
      </c>
      <c r="D94" s="53" t="s">
        <v>963</v>
      </c>
      <c r="E94" s="61" t="s">
        <v>105</v>
      </c>
      <c r="F94" s="53" t="s">
        <v>964</v>
      </c>
      <c r="G94" s="53" t="s">
        <v>3970</v>
      </c>
      <c r="H94" s="68" t="s">
        <v>64</v>
      </c>
    </row>
    <row r="95" spans="1:8" ht="13.8" thickBot="1">
      <c r="A95" s="51">
        <v>94</v>
      </c>
      <c r="B95" s="52">
        <v>9</v>
      </c>
      <c r="C95" s="53" t="s">
        <v>847</v>
      </c>
      <c r="D95" s="53" t="s">
        <v>965</v>
      </c>
      <c r="E95" s="56" t="s">
        <v>12</v>
      </c>
      <c r="F95" s="53" t="s">
        <v>966</v>
      </c>
      <c r="G95" s="53" t="s">
        <v>3971</v>
      </c>
      <c r="H95" s="62" t="s">
        <v>94</v>
      </c>
    </row>
    <row r="96" spans="1:8" ht="27" thickBot="1">
      <c r="A96" s="55">
        <v>95</v>
      </c>
      <c r="B96" s="52">
        <v>5</v>
      </c>
      <c r="C96" s="53" t="s">
        <v>830</v>
      </c>
      <c r="D96" s="53" t="s">
        <v>967</v>
      </c>
      <c r="E96" s="54" t="s">
        <v>23</v>
      </c>
      <c r="F96" s="53" t="s">
        <v>968</v>
      </c>
      <c r="G96" s="53" t="s">
        <v>3972</v>
      </c>
      <c r="H96" s="60" t="s">
        <v>48</v>
      </c>
    </row>
    <row r="97" spans="1:8" ht="27" thickBot="1">
      <c r="A97" s="51">
        <v>96</v>
      </c>
      <c r="B97" s="52">
        <v>13</v>
      </c>
      <c r="C97" s="53" t="s">
        <v>760</v>
      </c>
      <c r="D97" s="53" t="s">
        <v>969</v>
      </c>
      <c r="E97" s="54" t="s">
        <v>23</v>
      </c>
      <c r="F97" s="53" t="s">
        <v>970</v>
      </c>
      <c r="G97" s="53" t="s">
        <v>971</v>
      </c>
      <c r="H97" s="69" t="s">
        <v>60</v>
      </c>
    </row>
    <row r="98" spans="1:8" ht="27" thickBot="1">
      <c r="A98" s="51">
        <v>97</v>
      </c>
      <c r="B98" s="52">
        <v>12</v>
      </c>
      <c r="C98" s="53" t="s">
        <v>1217</v>
      </c>
      <c r="D98" s="53" t="s">
        <v>972</v>
      </c>
      <c r="E98" s="54" t="s">
        <v>23</v>
      </c>
      <c r="F98" s="53" t="s">
        <v>973</v>
      </c>
      <c r="G98" s="53" t="s">
        <v>974</v>
      </c>
      <c r="H98" s="58" t="s">
        <v>90</v>
      </c>
    </row>
    <row r="99" spans="1:8" ht="27" thickBot="1">
      <c r="A99" s="51">
        <v>98</v>
      </c>
      <c r="B99" s="52">
        <v>15</v>
      </c>
      <c r="C99" s="53" t="s">
        <v>789</v>
      </c>
      <c r="D99" s="53" t="s">
        <v>975</v>
      </c>
      <c r="E99" s="54" t="s">
        <v>23</v>
      </c>
      <c r="F99" s="53" t="s">
        <v>976</v>
      </c>
      <c r="G99" s="53" t="s">
        <v>3973</v>
      </c>
      <c r="H99" s="58" t="s">
        <v>90</v>
      </c>
    </row>
    <row r="100" spans="1:8" ht="27" thickBot="1">
      <c r="A100" s="51">
        <v>99</v>
      </c>
      <c r="B100" s="52">
        <v>11</v>
      </c>
      <c r="C100" s="53" t="s">
        <v>838</v>
      </c>
      <c r="D100" s="53" t="s">
        <v>977</v>
      </c>
      <c r="E100" s="54" t="s">
        <v>23</v>
      </c>
      <c r="F100" s="53" t="s">
        <v>978</v>
      </c>
      <c r="G100" s="53" t="s">
        <v>3974</v>
      </c>
      <c r="H100" s="58" t="s">
        <v>3975</v>
      </c>
    </row>
    <row r="101" spans="1:8" ht="27" thickBot="1">
      <c r="A101" s="70">
        <v>100</v>
      </c>
      <c r="B101" s="52">
        <v>1</v>
      </c>
      <c r="C101" s="53" t="s">
        <v>765</v>
      </c>
      <c r="D101" s="53" t="s">
        <v>979</v>
      </c>
      <c r="E101" s="56" t="s">
        <v>12</v>
      </c>
      <c r="F101" s="53" t="s">
        <v>980</v>
      </c>
      <c r="G101" s="53" t="s">
        <v>3976</v>
      </c>
      <c r="H101" s="56" t="s">
        <v>87</v>
      </c>
    </row>
    <row r="102" spans="1:8" ht="27" thickBot="1">
      <c r="A102" s="51">
        <v>101</v>
      </c>
      <c r="B102" s="52">
        <v>4</v>
      </c>
      <c r="C102" s="53" t="s">
        <v>3892</v>
      </c>
      <c r="D102" s="53" t="s">
        <v>981</v>
      </c>
      <c r="E102" s="54" t="s">
        <v>23</v>
      </c>
      <c r="F102" s="53" t="s">
        <v>982</v>
      </c>
      <c r="G102" s="53" t="s">
        <v>3977</v>
      </c>
      <c r="H102" s="74" t="s">
        <v>3978</v>
      </c>
    </row>
    <row r="103" spans="1:8" ht="27" thickBot="1">
      <c r="A103" s="51">
        <v>102</v>
      </c>
      <c r="B103" s="52">
        <v>11</v>
      </c>
      <c r="C103" s="53" t="s">
        <v>838</v>
      </c>
      <c r="D103" s="53" t="s">
        <v>983</v>
      </c>
      <c r="E103" s="61" t="s">
        <v>105</v>
      </c>
      <c r="F103" s="53" t="s">
        <v>984</v>
      </c>
      <c r="G103" s="53" t="s">
        <v>3979</v>
      </c>
      <c r="H103" s="57" t="s">
        <v>3943</v>
      </c>
    </row>
    <row r="104" spans="1:8" ht="27" thickBot="1">
      <c r="A104" s="51">
        <v>103</v>
      </c>
      <c r="B104" s="52">
        <v>14</v>
      </c>
      <c r="C104" s="53" t="s">
        <v>3900</v>
      </c>
      <c r="D104" s="53" t="s">
        <v>985</v>
      </c>
      <c r="E104" s="53"/>
      <c r="F104" s="53" t="s">
        <v>986</v>
      </c>
      <c r="G104" s="53" t="s">
        <v>987</v>
      </c>
      <c r="H104" s="57" t="s">
        <v>3911</v>
      </c>
    </row>
    <row r="105" spans="1:8" ht="27" thickBot="1">
      <c r="A105" s="51">
        <v>104</v>
      </c>
      <c r="B105" s="52">
        <v>3</v>
      </c>
      <c r="C105" s="53" t="s">
        <v>778</v>
      </c>
      <c r="D105" s="53" t="s">
        <v>988</v>
      </c>
      <c r="E105" s="67" t="s">
        <v>109</v>
      </c>
      <c r="F105" s="53" t="s">
        <v>989</v>
      </c>
      <c r="G105" s="53" t="s">
        <v>990</v>
      </c>
      <c r="H105" s="53" t="s">
        <v>3907</v>
      </c>
    </row>
    <row r="106" spans="1:8" ht="13.8" thickBot="1">
      <c r="A106" s="51">
        <v>105</v>
      </c>
      <c r="B106" s="52">
        <v>10</v>
      </c>
      <c r="C106" s="53" t="s">
        <v>3896</v>
      </c>
      <c r="D106" s="53" t="s">
        <v>991</v>
      </c>
      <c r="E106" s="54" t="s">
        <v>23</v>
      </c>
      <c r="F106" s="53" t="s">
        <v>992</v>
      </c>
      <c r="G106" s="53" t="s">
        <v>3980</v>
      </c>
      <c r="H106" s="60" t="s">
        <v>48</v>
      </c>
    </row>
    <row r="107" spans="1:8" ht="27" thickBot="1">
      <c r="A107" s="51">
        <v>106</v>
      </c>
      <c r="B107" s="52">
        <v>9</v>
      </c>
      <c r="C107" s="53" t="s">
        <v>847</v>
      </c>
      <c r="D107" s="53" t="s">
        <v>993</v>
      </c>
      <c r="E107" s="54" t="s">
        <v>23</v>
      </c>
      <c r="F107" s="53" t="s">
        <v>994</v>
      </c>
      <c r="G107" s="53" t="s">
        <v>3981</v>
      </c>
      <c r="H107" s="58" t="s">
        <v>3982</v>
      </c>
    </row>
    <row r="108" spans="1:8" ht="27" thickBot="1">
      <c r="A108" s="51">
        <v>107</v>
      </c>
      <c r="B108" s="52">
        <v>15</v>
      </c>
      <c r="C108" s="53" t="s">
        <v>789</v>
      </c>
      <c r="D108" s="53" t="s">
        <v>995</v>
      </c>
      <c r="E108" s="54" t="s">
        <v>23</v>
      </c>
      <c r="F108" s="53" t="s">
        <v>996</v>
      </c>
      <c r="G108" s="53" t="s">
        <v>3983</v>
      </c>
      <c r="H108" s="60" t="s">
        <v>48</v>
      </c>
    </row>
    <row r="109" spans="1:8" ht="27" thickBot="1">
      <c r="A109" s="51">
        <v>108</v>
      </c>
      <c r="B109" s="52">
        <v>5</v>
      </c>
      <c r="C109" s="53" t="s">
        <v>830</v>
      </c>
      <c r="D109" s="53" t="s">
        <v>997</v>
      </c>
      <c r="E109" s="53"/>
      <c r="F109" s="53" t="s">
        <v>998</v>
      </c>
      <c r="G109" s="53" t="s">
        <v>3984</v>
      </c>
      <c r="H109" s="60" t="s">
        <v>48</v>
      </c>
    </row>
    <row r="110" spans="1:8" ht="53.4" thickBot="1">
      <c r="A110" s="51">
        <v>109</v>
      </c>
      <c r="B110" s="52">
        <v>2</v>
      </c>
      <c r="C110" s="53" t="s">
        <v>3886</v>
      </c>
      <c r="D110" s="53" t="s">
        <v>999</v>
      </c>
      <c r="E110" s="64" t="s">
        <v>3985</v>
      </c>
      <c r="F110" s="53" t="s">
        <v>1000</v>
      </c>
      <c r="G110" s="53" t="s">
        <v>1001</v>
      </c>
      <c r="H110" s="65" t="s">
        <v>3919</v>
      </c>
    </row>
    <row r="111" spans="1:8" ht="27" thickBot="1">
      <c r="A111" s="51">
        <v>110</v>
      </c>
      <c r="B111" s="52">
        <v>3</v>
      </c>
      <c r="C111" s="53" t="s">
        <v>778</v>
      </c>
      <c r="D111" s="53" t="s">
        <v>1002</v>
      </c>
      <c r="E111" s="56" t="s">
        <v>12</v>
      </c>
      <c r="F111" s="53" t="s">
        <v>1003</v>
      </c>
      <c r="G111" s="53" t="s">
        <v>3986</v>
      </c>
      <c r="H111" s="56" t="s">
        <v>87</v>
      </c>
    </row>
    <row r="112" spans="1:8" ht="27" thickBot="1">
      <c r="A112" s="51">
        <v>111</v>
      </c>
      <c r="B112" s="52">
        <v>1</v>
      </c>
      <c r="C112" s="53" t="s">
        <v>765</v>
      </c>
      <c r="D112" s="53" t="s">
        <v>367</v>
      </c>
      <c r="E112" s="60" t="s">
        <v>819</v>
      </c>
      <c r="F112" s="53" t="s">
        <v>368</v>
      </c>
      <c r="G112" s="53" t="s">
        <v>1004</v>
      </c>
      <c r="H112" s="53" t="s">
        <v>3907</v>
      </c>
    </row>
    <row r="113" spans="1:8" ht="27" thickBot="1">
      <c r="A113" s="51">
        <v>112</v>
      </c>
      <c r="B113" s="52">
        <v>9</v>
      </c>
      <c r="C113" s="53" t="s">
        <v>847</v>
      </c>
      <c r="D113" s="53" t="s">
        <v>1005</v>
      </c>
      <c r="E113" s="67" t="s">
        <v>109</v>
      </c>
      <c r="F113" s="53" t="s">
        <v>1006</v>
      </c>
      <c r="G113" s="53" t="s">
        <v>3987</v>
      </c>
      <c r="H113" s="53" t="s">
        <v>3907</v>
      </c>
    </row>
    <row r="114" spans="1:8" ht="27" thickBot="1">
      <c r="A114" s="51">
        <v>113</v>
      </c>
      <c r="B114" s="52">
        <v>13</v>
      </c>
      <c r="C114" s="53" t="s">
        <v>760</v>
      </c>
      <c r="D114" s="53" t="s">
        <v>1007</v>
      </c>
      <c r="E114" s="67" t="s">
        <v>109</v>
      </c>
      <c r="F114" s="53" t="s">
        <v>1008</v>
      </c>
      <c r="G114" s="53" t="s">
        <v>3988</v>
      </c>
      <c r="H114" s="53" t="s">
        <v>3907</v>
      </c>
    </row>
    <row r="115" spans="1:8" ht="27" thickBot="1">
      <c r="A115" s="51">
        <v>114</v>
      </c>
      <c r="B115" s="52">
        <v>5</v>
      </c>
      <c r="C115" s="53" t="s">
        <v>830</v>
      </c>
      <c r="D115" s="53" t="s">
        <v>1009</v>
      </c>
      <c r="E115" s="54" t="s">
        <v>23</v>
      </c>
      <c r="F115" s="53" t="s">
        <v>1010</v>
      </c>
      <c r="G115" s="53" t="s">
        <v>3989</v>
      </c>
      <c r="H115" s="60" t="s">
        <v>48</v>
      </c>
    </row>
    <row r="116" spans="1:8" ht="27" thickBot="1">
      <c r="A116" s="51">
        <v>115</v>
      </c>
      <c r="B116" s="52">
        <v>5</v>
      </c>
      <c r="C116" s="53" t="s">
        <v>830</v>
      </c>
      <c r="D116" s="53" t="s">
        <v>1011</v>
      </c>
      <c r="E116" s="54" t="s">
        <v>23</v>
      </c>
      <c r="F116" s="53" t="s">
        <v>1012</v>
      </c>
      <c r="G116" s="53" t="s">
        <v>1013</v>
      </c>
      <c r="H116" s="73" t="s">
        <v>7</v>
      </c>
    </row>
    <row r="117" spans="1:8" ht="27" thickBot="1">
      <c r="A117" s="51">
        <v>116</v>
      </c>
      <c r="B117" s="52">
        <v>9</v>
      </c>
      <c r="C117" s="53" t="s">
        <v>847</v>
      </c>
      <c r="D117" s="53" t="s">
        <v>1014</v>
      </c>
      <c r="E117" s="54" t="s">
        <v>23</v>
      </c>
      <c r="F117" s="53" t="s">
        <v>1015</v>
      </c>
      <c r="G117" s="53" t="s">
        <v>3990</v>
      </c>
      <c r="H117" s="73" t="s">
        <v>7</v>
      </c>
    </row>
    <row r="118" spans="1:8" ht="27" thickBot="1">
      <c r="A118" s="51">
        <v>117</v>
      </c>
      <c r="B118" s="52">
        <v>15</v>
      </c>
      <c r="C118" s="53" t="s">
        <v>789</v>
      </c>
      <c r="D118" s="53" t="s">
        <v>1016</v>
      </c>
      <c r="E118" s="54" t="s">
        <v>23</v>
      </c>
      <c r="F118" s="53" t="s">
        <v>1017</v>
      </c>
      <c r="G118" s="53" t="s">
        <v>3991</v>
      </c>
      <c r="H118" s="74" t="s">
        <v>3978</v>
      </c>
    </row>
    <row r="119" spans="1:8" ht="27" thickBot="1">
      <c r="A119" s="51">
        <v>118</v>
      </c>
      <c r="B119" s="52">
        <v>14</v>
      </c>
      <c r="C119" s="53" t="s">
        <v>3900</v>
      </c>
      <c r="D119" s="53" t="s">
        <v>1018</v>
      </c>
      <c r="E119" s="54" t="s">
        <v>23</v>
      </c>
      <c r="F119" s="53" t="s">
        <v>1019</v>
      </c>
      <c r="G119" s="53" t="s">
        <v>3992</v>
      </c>
      <c r="H119" s="73" t="s">
        <v>7</v>
      </c>
    </row>
    <row r="120" spans="1:8" ht="13.8" thickBot="1">
      <c r="A120" s="51">
        <v>119</v>
      </c>
      <c r="B120" s="52">
        <v>9</v>
      </c>
      <c r="C120" s="53" t="s">
        <v>847</v>
      </c>
      <c r="D120" s="53" t="s">
        <v>1020</v>
      </c>
      <c r="E120" s="54" t="s">
        <v>23</v>
      </c>
      <c r="F120" s="53" t="s">
        <v>1021</v>
      </c>
      <c r="G120" s="53" t="s">
        <v>3993</v>
      </c>
      <c r="H120" s="69" t="s">
        <v>60</v>
      </c>
    </row>
    <row r="121" spans="1:8" ht="27" thickBot="1">
      <c r="A121" s="51">
        <v>120</v>
      </c>
      <c r="B121" s="52">
        <v>7</v>
      </c>
      <c r="C121" s="53" t="s">
        <v>3889</v>
      </c>
      <c r="D121" s="53" t="s">
        <v>1022</v>
      </c>
      <c r="E121" s="56" t="s">
        <v>12</v>
      </c>
      <c r="F121" s="53" t="s">
        <v>1023</v>
      </c>
      <c r="G121" s="53" t="s">
        <v>3994</v>
      </c>
      <c r="H121" s="62" t="s">
        <v>94</v>
      </c>
    </row>
    <row r="122" spans="1:8" ht="27" thickBot="1">
      <c r="A122" s="51">
        <v>121</v>
      </c>
      <c r="B122" s="52">
        <v>7</v>
      </c>
      <c r="C122" s="53" t="s">
        <v>3889</v>
      </c>
      <c r="D122" s="53" t="s">
        <v>1024</v>
      </c>
      <c r="E122" s="56" t="s">
        <v>12</v>
      </c>
      <c r="F122" s="53" t="s">
        <v>1025</v>
      </c>
      <c r="G122" s="53" t="s">
        <v>3995</v>
      </c>
      <c r="H122" s="62" t="s">
        <v>3996</v>
      </c>
    </row>
    <row r="123" spans="1:8" ht="27" thickBot="1">
      <c r="A123" s="51">
        <v>122</v>
      </c>
      <c r="B123" s="52">
        <v>2</v>
      </c>
      <c r="C123" s="53" t="s">
        <v>3886</v>
      </c>
      <c r="D123" s="53" t="s">
        <v>1026</v>
      </c>
      <c r="E123" s="54" t="s">
        <v>23</v>
      </c>
      <c r="F123" s="53" t="s">
        <v>1027</v>
      </c>
      <c r="G123" s="53" t="s">
        <v>3997</v>
      </c>
      <c r="H123" s="60" t="s">
        <v>48</v>
      </c>
    </row>
    <row r="124" spans="1:8" ht="27" thickBot="1">
      <c r="A124" s="51">
        <v>123</v>
      </c>
      <c r="B124" s="52">
        <v>8</v>
      </c>
      <c r="C124" s="53" t="s">
        <v>3891</v>
      </c>
      <c r="D124" s="53" t="s">
        <v>1028</v>
      </c>
      <c r="E124" s="54" t="s">
        <v>23</v>
      </c>
      <c r="F124" s="53" t="s">
        <v>1029</v>
      </c>
      <c r="G124" s="53" t="s">
        <v>3998</v>
      </c>
      <c r="H124" s="73" t="s">
        <v>7</v>
      </c>
    </row>
    <row r="125" spans="1:8" ht="27" thickBot="1">
      <c r="A125" s="51">
        <v>124</v>
      </c>
      <c r="B125" s="52">
        <v>14</v>
      </c>
      <c r="C125" s="53" t="s">
        <v>3900</v>
      </c>
      <c r="D125" s="53" t="s">
        <v>1030</v>
      </c>
      <c r="E125" s="54" t="s">
        <v>23</v>
      </c>
      <c r="F125" s="53" t="s">
        <v>1031</v>
      </c>
      <c r="G125" s="53" t="s">
        <v>3999</v>
      </c>
      <c r="H125" s="69" t="s">
        <v>60</v>
      </c>
    </row>
    <row r="126" spans="1:8" ht="27" thickBot="1">
      <c r="A126" s="51">
        <v>125</v>
      </c>
      <c r="B126" s="52">
        <v>12</v>
      </c>
      <c r="C126" s="53" t="s">
        <v>1217</v>
      </c>
      <c r="D126" s="53" t="s">
        <v>1032</v>
      </c>
      <c r="E126" s="61" t="s">
        <v>105</v>
      </c>
      <c r="F126" s="53" t="s">
        <v>1033</v>
      </c>
      <c r="G126" s="53" t="s">
        <v>1034</v>
      </c>
      <c r="H126" s="57" t="s">
        <v>4000</v>
      </c>
    </row>
    <row r="127" spans="1:8" ht="27" thickBot="1">
      <c r="A127" s="51">
        <v>126</v>
      </c>
      <c r="B127" s="52">
        <v>7</v>
      </c>
      <c r="C127" s="53" t="s">
        <v>3889</v>
      </c>
      <c r="D127" s="53" t="s">
        <v>1035</v>
      </c>
      <c r="E127" s="54" t="s">
        <v>23</v>
      </c>
      <c r="F127" s="53" t="s">
        <v>1036</v>
      </c>
      <c r="G127" s="53" t="s">
        <v>4001</v>
      </c>
      <c r="H127" s="60" t="s">
        <v>48</v>
      </c>
    </row>
    <row r="128" spans="1:8" ht="27" thickBot="1">
      <c r="A128" s="51">
        <v>127</v>
      </c>
      <c r="B128" s="52">
        <v>1</v>
      </c>
      <c r="C128" s="53" t="s">
        <v>765</v>
      </c>
      <c r="D128" s="53" t="s">
        <v>1037</v>
      </c>
      <c r="E128" s="56" t="s">
        <v>12</v>
      </c>
      <c r="F128" s="53" t="s">
        <v>1038</v>
      </c>
      <c r="G128" s="53" t="s">
        <v>4002</v>
      </c>
      <c r="H128" s="53" t="s">
        <v>3907</v>
      </c>
    </row>
    <row r="129" spans="1:8" ht="27" thickBot="1">
      <c r="A129" s="51">
        <v>128</v>
      </c>
      <c r="B129" s="52">
        <v>6</v>
      </c>
      <c r="C129" s="53" t="s">
        <v>3912</v>
      </c>
      <c r="D129" s="53" t="s">
        <v>1039</v>
      </c>
      <c r="E129" s="54" t="s">
        <v>23</v>
      </c>
      <c r="F129" s="53" t="s">
        <v>1040</v>
      </c>
      <c r="G129" s="53" t="s">
        <v>4003</v>
      </c>
      <c r="H129" s="74" t="s">
        <v>4004</v>
      </c>
    </row>
    <row r="130" spans="1:8" ht="27" thickBot="1">
      <c r="A130" s="51">
        <v>129</v>
      </c>
      <c r="B130" s="52">
        <v>4</v>
      </c>
      <c r="C130" s="53" t="s">
        <v>3892</v>
      </c>
      <c r="D130" s="53" t="s">
        <v>1041</v>
      </c>
      <c r="E130" s="54" t="s">
        <v>23</v>
      </c>
      <c r="F130" s="53" t="s">
        <v>1042</v>
      </c>
      <c r="G130" s="53" t="s">
        <v>4005</v>
      </c>
      <c r="H130" s="58" t="s">
        <v>90</v>
      </c>
    </row>
    <row r="131" spans="1:8" ht="27" thickBot="1">
      <c r="A131" s="51">
        <v>130</v>
      </c>
      <c r="B131" s="52">
        <v>5</v>
      </c>
      <c r="C131" s="53" t="s">
        <v>830</v>
      </c>
      <c r="D131" s="53" t="s">
        <v>1043</v>
      </c>
      <c r="E131" s="56" t="s">
        <v>12</v>
      </c>
      <c r="F131" s="53" t="s">
        <v>1044</v>
      </c>
      <c r="G131" s="53" t="s">
        <v>4006</v>
      </c>
      <c r="H131" s="62" t="s">
        <v>94</v>
      </c>
    </row>
    <row r="132" spans="1:8" ht="27" thickBot="1">
      <c r="A132" s="51">
        <v>131</v>
      </c>
      <c r="B132" s="52">
        <v>13</v>
      </c>
      <c r="C132" s="53" t="s">
        <v>760</v>
      </c>
      <c r="D132" s="53" t="s">
        <v>1045</v>
      </c>
      <c r="E132" s="54" t="s">
        <v>23</v>
      </c>
      <c r="F132" s="53" t="s">
        <v>1046</v>
      </c>
      <c r="G132" s="53" t="s">
        <v>4007</v>
      </c>
      <c r="H132" s="69" t="s">
        <v>60</v>
      </c>
    </row>
    <row r="133" spans="1:8" ht="27" thickBot="1">
      <c r="A133" s="51">
        <v>132</v>
      </c>
      <c r="B133" s="52">
        <v>5</v>
      </c>
      <c r="C133" s="53" t="s">
        <v>830</v>
      </c>
      <c r="D133" s="53" t="s">
        <v>1047</v>
      </c>
      <c r="E133" s="56" t="s">
        <v>12</v>
      </c>
      <c r="F133" s="53" t="s">
        <v>1048</v>
      </c>
      <c r="G133" s="53" t="s">
        <v>4008</v>
      </c>
      <c r="H133" s="62" t="s">
        <v>94</v>
      </c>
    </row>
    <row r="134" spans="1:8" ht="27" thickBot="1">
      <c r="A134" s="51">
        <v>133</v>
      </c>
      <c r="B134" s="52">
        <v>13</v>
      </c>
      <c r="C134" s="53" t="s">
        <v>760</v>
      </c>
      <c r="D134" s="53" t="s">
        <v>1049</v>
      </c>
      <c r="E134" s="56" t="s">
        <v>12</v>
      </c>
      <c r="F134" s="53" t="s">
        <v>1050</v>
      </c>
      <c r="G134" s="53" t="s">
        <v>1051</v>
      </c>
      <c r="H134" s="62" t="s">
        <v>94</v>
      </c>
    </row>
    <row r="135" spans="1:8" ht="27" thickBot="1">
      <c r="A135" s="51">
        <v>134</v>
      </c>
      <c r="B135" s="52">
        <v>11</v>
      </c>
      <c r="C135" s="53" t="s">
        <v>838</v>
      </c>
      <c r="D135" s="53" t="s">
        <v>1052</v>
      </c>
      <c r="E135" s="54" t="s">
        <v>23</v>
      </c>
      <c r="F135" s="53" t="s">
        <v>1053</v>
      </c>
      <c r="G135" s="53" t="s">
        <v>1054</v>
      </c>
      <c r="H135" s="68" t="s">
        <v>64</v>
      </c>
    </row>
    <row r="136" spans="1:8" ht="27" thickBot="1">
      <c r="A136" s="51">
        <v>135</v>
      </c>
      <c r="B136" s="52">
        <v>6</v>
      </c>
      <c r="C136" s="53" t="s">
        <v>3912</v>
      </c>
      <c r="D136" s="53" t="s">
        <v>1055</v>
      </c>
      <c r="E136" s="54" t="s">
        <v>23</v>
      </c>
      <c r="F136" s="53" t="s">
        <v>1056</v>
      </c>
      <c r="G136" s="53" t="s">
        <v>4009</v>
      </c>
      <c r="H136" s="61" t="s">
        <v>34</v>
      </c>
    </row>
    <row r="137" spans="1:8" ht="27" thickBot="1">
      <c r="A137" s="51">
        <v>136</v>
      </c>
      <c r="B137" s="52">
        <v>11</v>
      </c>
      <c r="C137" s="53" t="s">
        <v>838</v>
      </c>
      <c r="D137" s="53" t="s">
        <v>1057</v>
      </c>
      <c r="E137" s="54" t="s">
        <v>23</v>
      </c>
      <c r="F137" s="53" t="s">
        <v>471</v>
      </c>
      <c r="G137" s="53" t="s">
        <v>4010</v>
      </c>
      <c r="H137" s="61" t="s">
        <v>34</v>
      </c>
    </row>
    <row r="138" spans="1:8" ht="27" thickBot="1">
      <c r="A138" s="51">
        <v>137</v>
      </c>
      <c r="B138" s="52">
        <v>12</v>
      </c>
      <c r="C138" s="53" t="s">
        <v>1217</v>
      </c>
      <c r="D138" s="53" t="s">
        <v>1058</v>
      </c>
      <c r="E138" s="54" t="s">
        <v>23</v>
      </c>
      <c r="F138" s="53" t="s">
        <v>1059</v>
      </c>
      <c r="G138" s="53" t="s">
        <v>4011</v>
      </c>
      <c r="H138" s="67" t="s">
        <v>150</v>
      </c>
    </row>
    <row r="139" spans="1:8" ht="27" thickBot="1">
      <c r="A139" s="51">
        <v>138</v>
      </c>
      <c r="B139" s="52">
        <v>4</v>
      </c>
      <c r="C139" s="53" t="s">
        <v>3892</v>
      </c>
      <c r="D139" s="53" t="s">
        <v>1060</v>
      </c>
      <c r="E139" s="56" t="s">
        <v>12</v>
      </c>
      <c r="F139" s="53" t="s">
        <v>477</v>
      </c>
      <c r="G139" s="53" t="s">
        <v>4012</v>
      </c>
      <c r="H139" s="56" t="s">
        <v>87</v>
      </c>
    </row>
    <row r="140" spans="1:8" ht="27" thickBot="1">
      <c r="A140" s="51">
        <v>139</v>
      </c>
      <c r="B140" s="52">
        <v>3</v>
      </c>
      <c r="C140" s="53" t="s">
        <v>778</v>
      </c>
      <c r="D140" s="53" t="s">
        <v>1061</v>
      </c>
      <c r="E140" s="54" t="s">
        <v>23</v>
      </c>
      <c r="F140" s="53" t="s">
        <v>1062</v>
      </c>
      <c r="G140" s="53" t="s">
        <v>4013</v>
      </c>
      <c r="H140" s="68" t="s">
        <v>64</v>
      </c>
    </row>
    <row r="141" spans="1:8" ht="27" thickBot="1">
      <c r="A141" s="51">
        <v>140</v>
      </c>
      <c r="B141" s="52">
        <v>8</v>
      </c>
      <c r="C141" s="53" t="s">
        <v>3891</v>
      </c>
      <c r="D141" s="53" t="s">
        <v>1063</v>
      </c>
      <c r="E141" s="54" t="s">
        <v>23</v>
      </c>
      <c r="F141" s="53" t="s">
        <v>1064</v>
      </c>
      <c r="G141" s="53" t="s">
        <v>1065</v>
      </c>
      <c r="H141" s="68" t="s">
        <v>64</v>
      </c>
    </row>
    <row r="142" spans="1:8" ht="27" thickBot="1">
      <c r="A142" s="51">
        <v>141</v>
      </c>
      <c r="B142" s="52">
        <v>4</v>
      </c>
      <c r="C142" s="53" t="s">
        <v>3892</v>
      </c>
      <c r="D142" s="53" t="s">
        <v>1066</v>
      </c>
      <c r="E142" s="54" t="s">
        <v>23</v>
      </c>
      <c r="F142" s="53" t="s">
        <v>1067</v>
      </c>
      <c r="G142" s="53" t="s">
        <v>1068</v>
      </c>
      <c r="H142" s="60" t="s">
        <v>48</v>
      </c>
    </row>
    <row r="143" spans="1:8" ht="27" thickBot="1">
      <c r="A143" s="51">
        <v>142</v>
      </c>
      <c r="B143" s="52">
        <v>6</v>
      </c>
      <c r="C143" s="53" t="s">
        <v>3912</v>
      </c>
      <c r="D143" s="53" t="s">
        <v>1069</v>
      </c>
      <c r="E143" s="61" t="s">
        <v>105</v>
      </c>
      <c r="F143" s="53" t="s">
        <v>1070</v>
      </c>
      <c r="G143" s="53" t="s">
        <v>4014</v>
      </c>
      <c r="H143" s="54" t="s">
        <v>15</v>
      </c>
    </row>
    <row r="144" spans="1:8" ht="27" thickBot="1">
      <c r="A144" s="51">
        <v>143</v>
      </c>
      <c r="B144" s="52">
        <v>3</v>
      </c>
      <c r="C144" s="53" t="s">
        <v>778</v>
      </c>
      <c r="D144" s="53" t="s">
        <v>1071</v>
      </c>
      <c r="E144" s="56" t="s">
        <v>12</v>
      </c>
      <c r="F144" s="53" t="s">
        <v>1072</v>
      </c>
      <c r="G144" s="53" t="s">
        <v>4015</v>
      </c>
      <c r="H144" s="56" t="s">
        <v>87</v>
      </c>
    </row>
    <row r="145" spans="1:8" ht="27" thickBot="1">
      <c r="A145" s="51">
        <v>144</v>
      </c>
      <c r="B145" s="52">
        <v>8</v>
      </c>
      <c r="C145" s="53" t="s">
        <v>3891</v>
      </c>
      <c r="D145" s="53" t="s">
        <v>1073</v>
      </c>
      <c r="E145" s="60" t="s">
        <v>819</v>
      </c>
      <c r="F145" s="53" t="s">
        <v>1074</v>
      </c>
      <c r="G145" s="53" t="s">
        <v>4016</v>
      </c>
      <c r="H145" s="53" t="s">
        <v>3907</v>
      </c>
    </row>
    <row r="146" spans="1:8" ht="27" thickBot="1">
      <c r="A146" s="51">
        <v>145</v>
      </c>
      <c r="B146" s="52">
        <v>4</v>
      </c>
      <c r="C146" s="53" t="s">
        <v>3892</v>
      </c>
      <c r="D146" s="53" t="s">
        <v>1075</v>
      </c>
      <c r="E146" s="60" t="s">
        <v>819</v>
      </c>
      <c r="F146" s="53" t="s">
        <v>1076</v>
      </c>
      <c r="G146" s="53" t="s">
        <v>3987</v>
      </c>
      <c r="H146" s="53" t="s">
        <v>3907</v>
      </c>
    </row>
    <row r="147" spans="1:8" ht="27" thickBot="1">
      <c r="A147" s="51">
        <v>146</v>
      </c>
      <c r="B147" s="52">
        <v>11</v>
      </c>
      <c r="C147" s="53" t="s">
        <v>838</v>
      </c>
      <c r="D147" s="53" t="s">
        <v>1077</v>
      </c>
      <c r="E147" s="61" t="s">
        <v>105</v>
      </c>
      <c r="F147" s="53" t="s">
        <v>1078</v>
      </c>
      <c r="G147" s="53" t="s">
        <v>1079</v>
      </c>
      <c r="H147" s="68" t="s">
        <v>64</v>
      </c>
    </row>
    <row r="148" spans="1:8" ht="27" thickBot="1">
      <c r="A148" s="51">
        <v>147</v>
      </c>
      <c r="B148" s="52">
        <v>7</v>
      </c>
      <c r="C148" s="53" t="s">
        <v>3889</v>
      </c>
      <c r="D148" s="53" t="s">
        <v>1080</v>
      </c>
      <c r="E148" s="56" t="s">
        <v>12</v>
      </c>
      <c r="F148" s="53" t="s">
        <v>1081</v>
      </c>
      <c r="G148" s="53" t="s">
        <v>4017</v>
      </c>
      <c r="H148" s="56" t="s">
        <v>87</v>
      </c>
    </row>
    <row r="149" spans="1:8" ht="13.8" thickBot="1">
      <c r="A149" s="51">
        <v>148</v>
      </c>
      <c r="B149" s="52">
        <v>10</v>
      </c>
      <c r="C149" s="53" t="s">
        <v>3896</v>
      </c>
      <c r="D149" s="53" t="s">
        <v>1082</v>
      </c>
      <c r="E149" s="54" t="s">
        <v>23</v>
      </c>
      <c r="F149" s="53" t="s">
        <v>1083</v>
      </c>
      <c r="G149" s="53" t="s">
        <v>4018</v>
      </c>
      <c r="H149" s="67" t="s">
        <v>150</v>
      </c>
    </row>
    <row r="150" spans="1:8" ht="53.4" thickBot="1">
      <c r="A150" s="51">
        <v>149</v>
      </c>
      <c r="B150" s="52">
        <v>4</v>
      </c>
      <c r="C150" s="53" t="s">
        <v>3892</v>
      </c>
      <c r="D150" s="53" t="s">
        <v>1084</v>
      </c>
      <c r="E150" s="64" t="s">
        <v>54</v>
      </c>
      <c r="F150" s="53" t="s">
        <v>1085</v>
      </c>
      <c r="G150" s="53" t="s">
        <v>1086</v>
      </c>
      <c r="H150" s="65" t="s">
        <v>3919</v>
      </c>
    </row>
    <row r="151" spans="1:8" ht="27" thickBot="1">
      <c r="A151" s="51">
        <v>150</v>
      </c>
      <c r="B151" s="52">
        <v>14</v>
      </c>
      <c r="C151" s="53" t="s">
        <v>3900</v>
      </c>
      <c r="D151" s="53" t="s">
        <v>1087</v>
      </c>
      <c r="E151" s="56" t="s">
        <v>12</v>
      </c>
      <c r="F151" s="53" t="s">
        <v>1088</v>
      </c>
      <c r="G151" s="53" t="s">
        <v>2251</v>
      </c>
      <c r="H151" s="56" t="s">
        <v>87</v>
      </c>
    </row>
    <row r="152" spans="1:8" ht="27" thickBot="1">
      <c r="A152" s="51">
        <v>151</v>
      </c>
      <c r="B152" s="52">
        <v>11</v>
      </c>
      <c r="C152" s="53" t="s">
        <v>838</v>
      </c>
      <c r="D152" s="53" t="s">
        <v>1089</v>
      </c>
      <c r="E152" s="54" t="s">
        <v>23</v>
      </c>
      <c r="F152" s="53" t="s">
        <v>1090</v>
      </c>
      <c r="G152" s="53" t="s">
        <v>4019</v>
      </c>
      <c r="H152" s="68" t="s">
        <v>64</v>
      </c>
    </row>
    <row r="153" spans="1:8" ht="27" thickBot="1">
      <c r="A153" s="51">
        <v>152</v>
      </c>
      <c r="B153" s="52">
        <v>2</v>
      </c>
      <c r="C153" s="53" t="s">
        <v>3886</v>
      </c>
      <c r="D153" s="53" t="s">
        <v>1091</v>
      </c>
      <c r="E153" s="54" t="s">
        <v>23</v>
      </c>
      <c r="F153" s="53" t="s">
        <v>1092</v>
      </c>
      <c r="G153" s="53" t="s">
        <v>4020</v>
      </c>
      <c r="H153" s="58" t="s">
        <v>90</v>
      </c>
    </row>
    <row r="154" spans="1:8" ht="27" thickBot="1">
      <c r="A154" s="51">
        <v>153</v>
      </c>
      <c r="B154" s="52">
        <v>12</v>
      </c>
      <c r="C154" s="53" t="s">
        <v>1217</v>
      </c>
      <c r="D154" s="53" t="s">
        <v>1093</v>
      </c>
      <c r="E154" s="54" t="s">
        <v>23</v>
      </c>
      <c r="F154" s="53" t="s">
        <v>1094</v>
      </c>
      <c r="G154" s="53" t="s">
        <v>4021</v>
      </c>
      <c r="H154" s="69" t="s">
        <v>60</v>
      </c>
    </row>
    <row r="155" spans="1:8" ht="27" thickBot="1">
      <c r="A155" s="51">
        <v>154</v>
      </c>
      <c r="B155" s="52">
        <v>3</v>
      </c>
      <c r="C155" s="53" t="s">
        <v>778</v>
      </c>
      <c r="D155" s="53" t="s">
        <v>1095</v>
      </c>
      <c r="E155" s="56" t="s">
        <v>12</v>
      </c>
      <c r="F155" s="53" t="s">
        <v>530</v>
      </c>
      <c r="G155" s="53" t="s">
        <v>1096</v>
      </c>
      <c r="H155" s="57" t="s">
        <v>3943</v>
      </c>
    </row>
    <row r="156" spans="1:8" ht="27" thickBot="1">
      <c r="A156" s="51">
        <v>155</v>
      </c>
      <c r="B156" s="52">
        <v>2</v>
      </c>
      <c r="C156" s="53" t="s">
        <v>3886</v>
      </c>
      <c r="D156" s="53" t="s">
        <v>1097</v>
      </c>
      <c r="E156" s="75" t="s">
        <v>19</v>
      </c>
      <c r="F156" s="53" t="s">
        <v>1098</v>
      </c>
      <c r="G156" s="53" t="s">
        <v>1099</v>
      </c>
      <c r="H156" s="65" t="s">
        <v>3919</v>
      </c>
    </row>
    <row r="157" spans="1:8" ht="27" thickBot="1">
      <c r="A157" s="51">
        <v>156</v>
      </c>
      <c r="B157" s="52">
        <v>2</v>
      </c>
      <c r="C157" s="53" t="s">
        <v>3886</v>
      </c>
      <c r="D157" s="53" t="s">
        <v>1100</v>
      </c>
      <c r="E157" s="54" t="s">
        <v>23</v>
      </c>
      <c r="F157" s="53" t="s">
        <v>1101</v>
      </c>
      <c r="G157" s="53" t="s">
        <v>4022</v>
      </c>
      <c r="H157" s="69" t="s">
        <v>60</v>
      </c>
    </row>
    <row r="158" spans="1:8" ht="40.200000000000003" thickBot="1">
      <c r="A158" s="51">
        <v>157</v>
      </c>
      <c r="B158" s="52">
        <v>7</v>
      </c>
      <c r="C158" s="53" t="s">
        <v>3889</v>
      </c>
      <c r="D158" s="53" t="s">
        <v>1102</v>
      </c>
      <c r="E158" s="56" t="s">
        <v>4023</v>
      </c>
      <c r="F158" s="53" t="s">
        <v>1104</v>
      </c>
      <c r="G158" s="53" t="s">
        <v>1105</v>
      </c>
      <c r="H158" s="62" t="s">
        <v>94</v>
      </c>
    </row>
    <row r="159" spans="1:8" ht="27" thickBot="1">
      <c r="A159" s="51">
        <v>158</v>
      </c>
      <c r="B159" s="52">
        <v>6</v>
      </c>
      <c r="C159" s="53" t="s">
        <v>3912</v>
      </c>
      <c r="D159" s="53" t="s">
        <v>1106</v>
      </c>
      <c r="E159" s="56" t="s">
        <v>12</v>
      </c>
      <c r="F159" s="53" t="s">
        <v>1107</v>
      </c>
      <c r="G159" s="53" t="s">
        <v>4024</v>
      </c>
      <c r="H159" s="67" t="s">
        <v>150</v>
      </c>
    </row>
    <row r="160" spans="1:8" ht="27" thickBot="1">
      <c r="A160" s="51">
        <v>159</v>
      </c>
      <c r="B160" s="52">
        <v>3</v>
      </c>
      <c r="C160" s="53" t="s">
        <v>778</v>
      </c>
      <c r="D160" s="53" t="s">
        <v>1108</v>
      </c>
      <c r="E160" s="53"/>
      <c r="F160" s="53" t="s">
        <v>1109</v>
      </c>
      <c r="G160" s="53" t="s">
        <v>4025</v>
      </c>
      <c r="H160" s="53" t="s">
        <v>3907</v>
      </c>
    </row>
    <row r="161" spans="1:8" ht="40.200000000000003" thickBot="1">
      <c r="A161" s="51">
        <v>160</v>
      </c>
      <c r="B161" s="52">
        <v>14</v>
      </c>
      <c r="C161" s="53" t="s">
        <v>3900</v>
      </c>
      <c r="D161" s="53" t="s">
        <v>1110</v>
      </c>
      <c r="E161" s="64" t="s">
        <v>54</v>
      </c>
      <c r="F161" s="53" t="s">
        <v>539</v>
      </c>
      <c r="G161" s="53" t="s">
        <v>1111</v>
      </c>
      <c r="H161" s="65" t="s">
        <v>3919</v>
      </c>
    </row>
    <row r="162" spans="1:8" ht="27" thickBot="1">
      <c r="A162" s="51">
        <v>161</v>
      </c>
      <c r="B162" s="52">
        <v>13</v>
      </c>
      <c r="C162" s="53" t="s">
        <v>760</v>
      </c>
      <c r="D162" s="53" t="s">
        <v>1112</v>
      </c>
      <c r="E162" s="56" t="s">
        <v>12</v>
      </c>
      <c r="F162" s="53" t="s">
        <v>1113</v>
      </c>
      <c r="G162" s="53" t="s">
        <v>4026</v>
      </c>
      <c r="H162" s="54" t="s">
        <v>15</v>
      </c>
    </row>
    <row r="163" spans="1:8" ht="27" thickBot="1">
      <c r="A163" s="51">
        <v>162</v>
      </c>
      <c r="B163" s="52">
        <v>3</v>
      </c>
      <c r="C163" s="53" t="s">
        <v>778</v>
      </c>
      <c r="D163" s="53" t="s">
        <v>1114</v>
      </c>
      <c r="E163" s="56" t="s">
        <v>12</v>
      </c>
      <c r="F163" s="53" t="s">
        <v>1115</v>
      </c>
      <c r="G163" s="53" t="s">
        <v>4027</v>
      </c>
      <c r="H163" s="56" t="s">
        <v>87</v>
      </c>
    </row>
    <row r="164" spans="1:8" ht="27" thickBot="1">
      <c r="A164" s="51">
        <v>163</v>
      </c>
      <c r="B164" s="52">
        <v>13</v>
      </c>
      <c r="C164" s="53" t="s">
        <v>760</v>
      </c>
      <c r="D164" s="53" t="s">
        <v>1116</v>
      </c>
      <c r="E164" s="54" t="s">
        <v>23</v>
      </c>
      <c r="F164" s="53" t="s">
        <v>1117</v>
      </c>
      <c r="G164" s="53" t="s">
        <v>2307</v>
      </c>
      <c r="H164" s="58" t="s">
        <v>90</v>
      </c>
    </row>
    <row r="165" spans="1:8" ht="27" thickBot="1">
      <c r="A165" s="51">
        <v>164</v>
      </c>
      <c r="B165" s="52">
        <v>5</v>
      </c>
      <c r="C165" s="53" t="s">
        <v>830</v>
      </c>
      <c r="D165" s="53" t="s">
        <v>1118</v>
      </c>
      <c r="E165" s="56" t="s">
        <v>12</v>
      </c>
      <c r="F165" s="53" t="s">
        <v>1119</v>
      </c>
      <c r="G165" s="53" t="s">
        <v>1120</v>
      </c>
      <c r="H165" s="62" t="s">
        <v>94</v>
      </c>
    </row>
    <row r="166" spans="1:8" ht="27" thickBot="1">
      <c r="A166" s="51">
        <v>165</v>
      </c>
      <c r="B166" s="52">
        <v>5</v>
      </c>
      <c r="C166" s="53" t="s">
        <v>830</v>
      </c>
      <c r="D166" s="53" t="s">
        <v>1121</v>
      </c>
      <c r="E166" s="54" t="s">
        <v>23</v>
      </c>
      <c r="F166" s="53" t="s">
        <v>1122</v>
      </c>
      <c r="G166" s="53" t="s">
        <v>4028</v>
      </c>
      <c r="H166" s="69" t="s">
        <v>60</v>
      </c>
    </row>
    <row r="167" spans="1:8" ht="27" thickBot="1">
      <c r="A167" s="51">
        <v>166</v>
      </c>
      <c r="B167" s="52">
        <v>5</v>
      </c>
      <c r="C167" s="53" t="s">
        <v>830</v>
      </c>
      <c r="D167" s="53" t="s">
        <v>1123</v>
      </c>
      <c r="E167" s="56" t="s">
        <v>12</v>
      </c>
      <c r="F167" s="53" t="s">
        <v>1124</v>
      </c>
      <c r="G167" s="53" t="s">
        <v>4029</v>
      </c>
      <c r="H167" s="62" t="s">
        <v>94</v>
      </c>
    </row>
    <row r="168" spans="1:8" ht="27" thickBot="1">
      <c r="A168" s="51">
        <v>167</v>
      </c>
      <c r="B168" s="52">
        <v>14</v>
      </c>
      <c r="C168" s="53" t="s">
        <v>3900</v>
      </c>
      <c r="D168" s="53" t="s">
        <v>1125</v>
      </c>
      <c r="E168" s="54" t="s">
        <v>23</v>
      </c>
      <c r="F168" s="53" t="s">
        <v>1126</v>
      </c>
      <c r="G168" s="53" t="s">
        <v>4030</v>
      </c>
      <c r="H168" s="73" t="s">
        <v>7</v>
      </c>
    </row>
    <row r="169" spans="1:8" ht="27" thickBot="1">
      <c r="A169" s="51">
        <v>168</v>
      </c>
      <c r="B169" s="52">
        <v>12</v>
      </c>
      <c r="C169" s="53" t="s">
        <v>1217</v>
      </c>
      <c r="D169" s="53" t="s">
        <v>1127</v>
      </c>
      <c r="E169" s="54" t="s">
        <v>23</v>
      </c>
      <c r="F169" s="53" t="s">
        <v>1128</v>
      </c>
      <c r="G169" s="53" t="s">
        <v>1129</v>
      </c>
      <c r="H169" s="61" t="s">
        <v>34</v>
      </c>
    </row>
    <row r="170" spans="1:8" ht="13.8" thickBot="1">
      <c r="A170" s="51">
        <v>169</v>
      </c>
      <c r="B170" s="52">
        <v>10</v>
      </c>
      <c r="C170" s="53" t="s">
        <v>3896</v>
      </c>
      <c r="D170" s="53" t="s">
        <v>1130</v>
      </c>
      <c r="E170" s="56" t="s">
        <v>12</v>
      </c>
      <c r="F170" s="53" t="s">
        <v>1131</v>
      </c>
      <c r="G170" s="53" t="s">
        <v>4031</v>
      </c>
      <c r="H170" s="54" t="s">
        <v>15</v>
      </c>
    </row>
    <row r="171" spans="1:8" ht="27" thickBot="1">
      <c r="A171" s="55">
        <v>170</v>
      </c>
      <c r="B171" s="52">
        <v>13</v>
      </c>
      <c r="C171" s="53" t="s">
        <v>760</v>
      </c>
      <c r="D171" s="53" t="s">
        <v>1132</v>
      </c>
      <c r="E171" s="54" t="s">
        <v>23</v>
      </c>
      <c r="F171" s="53" t="s">
        <v>1133</v>
      </c>
      <c r="G171" s="53" t="s">
        <v>4032</v>
      </c>
      <c r="H171" s="61" t="s">
        <v>34</v>
      </c>
    </row>
    <row r="172" spans="1:8" ht="27" thickBot="1">
      <c r="A172" s="51">
        <v>171</v>
      </c>
      <c r="B172" s="52">
        <v>14</v>
      </c>
      <c r="C172" s="53" t="s">
        <v>3900</v>
      </c>
      <c r="D172" s="53" t="s">
        <v>1134</v>
      </c>
      <c r="E172" s="56" t="s">
        <v>12</v>
      </c>
      <c r="F172" s="53" t="s">
        <v>1135</v>
      </c>
      <c r="G172" s="53" t="s">
        <v>4033</v>
      </c>
      <c r="H172" s="73" t="s">
        <v>7</v>
      </c>
    </row>
    <row r="173" spans="1:8" ht="27" thickBot="1">
      <c r="A173" s="51">
        <v>172</v>
      </c>
      <c r="B173" s="52">
        <v>15</v>
      </c>
      <c r="C173" s="53" t="s">
        <v>789</v>
      </c>
      <c r="D173" s="53" t="s">
        <v>1136</v>
      </c>
      <c r="E173" s="54" t="s">
        <v>23</v>
      </c>
      <c r="F173" s="53" t="s">
        <v>1137</v>
      </c>
      <c r="G173" s="53" t="s">
        <v>4034</v>
      </c>
      <c r="H173" s="73" t="s">
        <v>7</v>
      </c>
    </row>
    <row r="174" spans="1:8" ht="27" thickBot="1">
      <c r="A174" s="51">
        <v>173</v>
      </c>
      <c r="B174" s="52">
        <v>4</v>
      </c>
      <c r="C174" s="53" t="s">
        <v>3892</v>
      </c>
      <c r="D174" s="53" t="s">
        <v>1138</v>
      </c>
      <c r="E174" s="54" t="s">
        <v>23</v>
      </c>
      <c r="F174" s="53" t="s">
        <v>1139</v>
      </c>
      <c r="G174" s="53" t="s">
        <v>4035</v>
      </c>
      <c r="H174" s="57" t="s">
        <v>3943</v>
      </c>
    </row>
    <row r="175" spans="1:8" ht="27" thickBot="1">
      <c r="A175" s="51">
        <v>174</v>
      </c>
      <c r="B175" s="52">
        <v>14</v>
      </c>
      <c r="C175" s="53" t="s">
        <v>3900</v>
      </c>
      <c r="D175" s="53" t="s">
        <v>1140</v>
      </c>
      <c r="E175" s="54" t="s">
        <v>23</v>
      </c>
      <c r="F175" s="53" t="s">
        <v>1141</v>
      </c>
      <c r="G175" s="53" t="s">
        <v>4036</v>
      </c>
      <c r="H175" s="68" t="s">
        <v>64</v>
      </c>
    </row>
    <row r="176" spans="1:8" ht="27" thickBot="1">
      <c r="A176" s="51">
        <v>175</v>
      </c>
      <c r="B176" s="52">
        <v>11</v>
      </c>
      <c r="C176" s="53" t="s">
        <v>838</v>
      </c>
      <c r="D176" s="53" t="s">
        <v>613</v>
      </c>
      <c r="E176" s="54" t="s">
        <v>23</v>
      </c>
      <c r="F176" s="53" t="s">
        <v>614</v>
      </c>
      <c r="G176" s="53" t="s">
        <v>4037</v>
      </c>
      <c r="H176" s="68" t="s">
        <v>64</v>
      </c>
    </row>
    <row r="177" spans="1:8" ht="27" thickBot="1">
      <c r="A177" s="51">
        <v>176</v>
      </c>
      <c r="B177" s="52">
        <v>11</v>
      </c>
      <c r="C177" s="53" t="s">
        <v>838</v>
      </c>
      <c r="D177" s="53" t="s">
        <v>1142</v>
      </c>
      <c r="E177" s="54" t="s">
        <v>23</v>
      </c>
      <c r="F177" s="53" t="s">
        <v>1143</v>
      </c>
      <c r="G177" s="53" t="s">
        <v>4038</v>
      </c>
      <c r="H177" s="68" t="s">
        <v>4039</v>
      </c>
    </row>
    <row r="178" spans="1:8" ht="27" thickBot="1">
      <c r="A178" s="51">
        <v>177</v>
      </c>
      <c r="B178" s="52">
        <v>5</v>
      </c>
      <c r="C178" s="53" t="s">
        <v>830</v>
      </c>
      <c r="D178" s="53" t="s">
        <v>1144</v>
      </c>
      <c r="E178" s="54" t="s">
        <v>23</v>
      </c>
      <c r="F178" s="53" t="s">
        <v>1145</v>
      </c>
      <c r="G178" s="53" t="s">
        <v>4040</v>
      </c>
      <c r="H178" s="73" t="s">
        <v>7</v>
      </c>
    </row>
    <row r="179" spans="1:8" ht="27" thickBot="1">
      <c r="A179" s="51">
        <v>178</v>
      </c>
      <c r="B179" s="52">
        <v>5</v>
      </c>
      <c r="C179" s="53" t="s">
        <v>830</v>
      </c>
      <c r="D179" s="63" t="s">
        <v>1146</v>
      </c>
      <c r="E179" s="53"/>
      <c r="F179" s="53" t="s">
        <v>1147</v>
      </c>
      <c r="G179" s="53" t="s">
        <v>4041</v>
      </c>
      <c r="H179" s="61" t="s">
        <v>34</v>
      </c>
    </row>
    <row r="180" spans="1:8" ht="27" thickBot="1">
      <c r="A180" s="51">
        <v>179</v>
      </c>
      <c r="B180" s="52">
        <v>3</v>
      </c>
      <c r="C180" s="53" t="s">
        <v>778</v>
      </c>
      <c r="D180" s="53" t="s">
        <v>1148</v>
      </c>
      <c r="E180" s="59" t="s">
        <v>74</v>
      </c>
      <c r="F180" s="53" t="s">
        <v>1149</v>
      </c>
      <c r="G180" s="53" t="s">
        <v>2437</v>
      </c>
      <c r="H180" s="53" t="s">
        <v>3907</v>
      </c>
    </row>
    <row r="181" spans="1:8" ht="27" thickBot="1">
      <c r="A181" s="51">
        <v>180</v>
      </c>
      <c r="B181" s="52">
        <v>1</v>
      </c>
      <c r="C181" s="53" t="s">
        <v>765</v>
      </c>
      <c r="D181" s="53" t="s">
        <v>1150</v>
      </c>
      <c r="E181" s="59" t="s">
        <v>74</v>
      </c>
      <c r="F181" s="53" t="s">
        <v>1151</v>
      </c>
      <c r="G181" s="53" t="s">
        <v>4042</v>
      </c>
      <c r="H181" s="61" t="s">
        <v>34</v>
      </c>
    </row>
    <row r="182" spans="1:8" ht="27" thickBot="1">
      <c r="A182" s="51">
        <v>181</v>
      </c>
      <c r="B182" s="52">
        <v>1</v>
      </c>
      <c r="C182" s="53" t="s">
        <v>765</v>
      </c>
      <c r="D182" s="53" t="s">
        <v>1152</v>
      </c>
      <c r="E182" s="54" t="s">
        <v>23</v>
      </c>
      <c r="F182" s="53" t="s">
        <v>1153</v>
      </c>
      <c r="G182" s="53" t="s">
        <v>1154</v>
      </c>
      <c r="H182" s="67" t="s">
        <v>150</v>
      </c>
    </row>
    <row r="183" spans="1:8" ht="27" thickBot="1">
      <c r="A183" s="51">
        <v>182</v>
      </c>
      <c r="B183" s="52">
        <v>4</v>
      </c>
      <c r="C183" s="53" t="s">
        <v>3892</v>
      </c>
      <c r="D183" s="53" t="s">
        <v>1155</v>
      </c>
      <c r="E183" s="60" t="s">
        <v>819</v>
      </c>
      <c r="F183" s="53" t="s">
        <v>1156</v>
      </c>
      <c r="G183" s="53" t="s">
        <v>4043</v>
      </c>
      <c r="H183" s="53" t="s">
        <v>3907</v>
      </c>
    </row>
    <row r="184" spans="1:8" ht="27" thickBot="1">
      <c r="A184" s="51">
        <v>183</v>
      </c>
      <c r="B184" s="52">
        <v>12</v>
      </c>
      <c r="C184" s="53" t="s">
        <v>1217</v>
      </c>
      <c r="D184" s="53" t="s">
        <v>1157</v>
      </c>
      <c r="E184" s="61" t="s">
        <v>105</v>
      </c>
      <c r="F184" s="53" t="s">
        <v>1158</v>
      </c>
      <c r="G184" s="53" t="s">
        <v>1159</v>
      </c>
      <c r="H184" s="57" t="s">
        <v>4000</v>
      </c>
    </row>
    <row r="185" spans="1:8" ht="27" thickBot="1">
      <c r="A185" s="51">
        <v>184</v>
      </c>
      <c r="B185" s="52">
        <v>7</v>
      </c>
      <c r="C185" s="53" t="s">
        <v>3889</v>
      </c>
      <c r="D185" s="53" t="s">
        <v>1160</v>
      </c>
      <c r="E185" s="56" t="s">
        <v>12</v>
      </c>
      <c r="F185" s="53" t="s">
        <v>1161</v>
      </c>
      <c r="G185" s="53" t="s">
        <v>1162</v>
      </c>
      <c r="H185" s="56" t="s">
        <v>87</v>
      </c>
    </row>
    <row r="186" spans="1:8" ht="27" thickBot="1">
      <c r="A186" s="51">
        <v>185</v>
      </c>
      <c r="B186" s="52">
        <v>7</v>
      </c>
      <c r="C186" s="53" t="s">
        <v>3889</v>
      </c>
      <c r="D186" s="53" t="s">
        <v>1163</v>
      </c>
      <c r="E186" s="56" t="s">
        <v>12</v>
      </c>
      <c r="F186" s="53" t="s">
        <v>1164</v>
      </c>
      <c r="G186" s="53" t="s">
        <v>1162</v>
      </c>
      <c r="H186" s="56" t="s">
        <v>87</v>
      </c>
    </row>
    <row r="187" spans="1:8" ht="27" thickBot="1">
      <c r="A187" s="51">
        <v>186</v>
      </c>
      <c r="B187" s="52">
        <v>1</v>
      </c>
      <c r="C187" s="53" t="s">
        <v>765</v>
      </c>
      <c r="D187" s="53" t="s">
        <v>1165</v>
      </c>
      <c r="E187" s="59" t="s">
        <v>74</v>
      </c>
      <c r="F187" s="53" t="s">
        <v>1166</v>
      </c>
      <c r="G187" s="53" t="s">
        <v>4044</v>
      </c>
      <c r="H187" s="53" t="s">
        <v>3921</v>
      </c>
    </row>
    <row r="188" spans="1:8" ht="27" thickBot="1">
      <c r="A188" s="51">
        <v>187</v>
      </c>
      <c r="B188" s="52">
        <v>8</v>
      </c>
      <c r="C188" s="53" t="s">
        <v>3891</v>
      </c>
      <c r="D188" s="53" t="s">
        <v>1167</v>
      </c>
      <c r="E188" s="53"/>
      <c r="F188" s="53" t="s">
        <v>1168</v>
      </c>
      <c r="G188" s="53" t="s">
        <v>1169</v>
      </c>
      <c r="H188" s="57" t="s">
        <v>3922</v>
      </c>
    </row>
    <row r="189" spans="1:8" ht="27" thickBot="1">
      <c r="A189" s="51">
        <v>188</v>
      </c>
      <c r="B189" s="52">
        <v>8</v>
      </c>
      <c r="C189" s="53" t="s">
        <v>3891</v>
      </c>
      <c r="D189" s="53" t="s">
        <v>1170</v>
      </c>
      <c r="E189" s="54" t="s">
        <v>23</v>
      </c>
      <c r="F189" s="53" t="s">
        <v>1171</v>
      </c>
      <c r="G189" s="53" t="s">
        <v>4045</v>
      </c>
      <c r="H189" s="69" t="s">
        <v>60</v>
      </c>
    </row>
    <row r="190" spans="1:8" ht="27" thickBot="1">
      <c r="A190" s="51">
        <v>189</v>
      </c>
      <c r="B190" s="52">
        <v>8</v>
      </c>
      <c r="C190" s="53" t="s">
        <v>3891</v>
      </c>
      <c r="D190" s="53" t="s">
        <v>1172</v>
      </c>
      <c r="E190" s="54" t="s">
        <v>23</v>
      </c>
      <c r="F190" s="53" t="s">
        <v>1173</v>
      </c>
      <c r="G190" s="53" t="s">
        <v>1174</v>
      </c>
      <c r="H190" s="69" t="s">
        <v>60</v>
      </c>
    </row>
    <row r="191" spans="1:8" ht="27" thickBot="1">
      <c r="A191" s="51">
        <v>190</v>
      </c>
      <c r="B191" s="52">
        <v>6</v>
      </c>
      <c r="C191" s="53" t="s">
        <v>3912</v>
      </c>
      <c r="D191" s="53" t="s">
        <v>1175</v>
      </c>
      <c r="E191" s="54" t="s">
        <v>23</v>
      </c>
      <c r="F191" s="53" t="s">
        <v>1176</v>
      </c>
      <c r="G191" s="53" t="s">
        <v>4046</v>
      </c>
      <c r="H191" s="74" t="s">
        <v>3978</v>
      </c>
    </row>
    <row r="192" spans="1:8" ht="27" thickBot="1">
      <c r="A192" s="51">
        <v>191</v>
      </c>
      <c r="B192" s="52">
        <v>2</v>
      </c>
      <c r="C192" s="53" t="s">
        <v>3886</v>
      </c>
      <c r="D192" s="53" t="s">
        <v>1177</v>
      </c>
      <c r="E192" s="61" t="s">
        <v>105</v>
      </c>
      <c r="F192" s="53" t="s">
        <v>1178</v>
      </c>
      <c r="G192" s="53" t="s">
        <v>4047</v>
      </c>
      <c r="H192" s="69" t="s">
        <v>3958</v>
      </c>
    </row>
    <row r="193" spans="1:8" ht="27" thickBot="1">
      <c r="A193" s="51">
        <v>192</v>
      </c>
      <c r="B193" s="52">
        <v>7</v>
      </c>
      <c r="C193" s="53" t="s">
        <v>3889</v>
      </c>
      <c r="D193" s="53" t="s">
        <v>1179</v>
      </c>
      <c r="E193" s="56" t="s">
        <v>3946</v>
      </c>
      <c r="F193" s="53" t="s">
        <v>1180</v>
      </c>
      <c r="G193" s="53" t="s">
        <v>1181</v>
      </c>
      <c r="H193" s="56" t="s">
        <v>87</v>
      </c>
    </row>
    <row r="194" spans="1:8" ht="27" thickBot="1">
      <c r="A194" s="51">
        <v>193</v>
      </c>
      <c r="B194" s="52">
        <v>14</v>
      </c>
      <c r="C194" s="53"/>
      <c r="D194" s="53" t="s">
        <v>1182</v>
      </c>
      <c r="E194" s="56" t="s">
        <v>12</v>
      </c>
      <c r="F194" s="53" t="s">
        <v>1183</v>
      </c>
      <c r="G194" s="53" t="s">
        <v>1184</v>
      </c>
      <c r="H194" s="62" t="s">
        <v>3996</v>
      </c>
    </row>
    <row r="195" spans="1:8" ht="27" thickBot="1">
      <c r="A195" s="51">
        <v>194</v>
      </c>
      <c r="B195" s="52">
        <v>8</v>
      </c>
      <c r="C195" s="53" t="s">
        <v>3891</v>
      </c>
      <c r="D195" s="53" t="s">
        <v>1185</v>
      </c>
      <c r="E195" s="54" t="s">
        <v>23</v>
      </c>
      <c r="F195" s="53" t="s">
        <v>1186</v>
      </c>
      <c r="G195" s="53" t="s">
        <v>4048</v>
      </c>
      <c r="H195" s="73" t="s">
        <v>7</v>
      </c>
    </row>
    <row r="196" spans="1:8" ht="27" thickBot="1">
      <c r="A196" s="51">
        <v>195</v>
      </c>
      <c r="B196" s="52">
        <v>3</v>
      </c>
      <c r="C196" s="53" t="s">
        <v>778</v>
      </c>
      <c r="D196" s="53" t="s">
        <v>1187</v>
      </c>
      <c r="E196" s="67" t="s">
        <v>109</v>
      </c>
      <c r="F196" s="53" t="s">
        <v>1188</v>
      </c>
      <c r="G196" s="53" t="s">
        <v>1189</v>
      </c>
      <c r="H196" s="53" t="s">
        <v>3907</v>
      </c>
    </row>
    <row r="197" spans="1:8" ht="27" thickBot="1">
      <c r="A197" s="51">
        <v>196</v>
      </c>
      <c r="B197" s="52">
        <v>9</v>
      </c>
      <c r="C197" s="53" t="s">
        <v>847</v>
      </c>
      <c r="D197" s="53" t="s">
        <v>1190</v>
      </c>
      <c r="E197" s="67" t="s">
        <v>109</v>
      </c>
      <c r="F197" s="53" t="s">
        <v>1191</v>
      </c>
      <c r="G197" s="53" t="s">
        <v>3987</v>
      </c>
      <c r="H197" s="53" t="s">
        <v>3907</v>
      </c>
    </row>
    <row r="198" spans="1:8" ht="79.8" thickBot="1">
      <c r="A198" s="51">
        <v>197</v>
      </c>
      <c r="B198" s="52">
        <v>11</v>
      </c>
      <c r="C198" s="53" t="s">
        <v>838</v>
      </c>
      <c r="D198" s="53" t="s">
        <v>1192</v>
      </c>
      <c r="E198" s="66" t="s">
        <v>27</v>
      </c>
      <c r="F198" s="53" t="s">
        <v>1193</v>
      </c>
      <c r="G198" s="53" t="s">
        <v>1194</v>
      </c>
      <c r="H198" s="53" t="s">
        <v>3907</v>
      </c>
    </row>
    <row r="199" spans="1:8" ht="66.599999999999994" thickBot="1">
      <c r="A199" s="51">
        <v>198</v>
      </c>
      <c r="B199" s="52">
        <v>12</v>
      </c>
      <c r="C199" s="53" t="s">
        <v>1217</v>
      </c>
      <c r="D199" s="63" t="s">
        <v>1195</v>
      </c>
      <c r="E199" s="59" t="s">
        <v>74</v>
      </c>
      <c r="F199" s="53" t="s">
        <v>1196</v>
      </c>
      <c r="G199" s="53" t="s">
        <v>1197</v>
      </c>
      <c r="H199" s="53" t="s">
        <v>3907</v>
      </c>
    </row>
    <row r="200" spans="1:8" ht="13.8" thickBot="1">
      <c r="A200" s="51">
        <v>199</v>
      </c>
      <c r="B200" s="52">
        <v>9</v>
      </c>
      <c r="C200" s="53" t="s">
        <v>847</v>
      </c>
      <c r="D200" s="53" t="s">
        <v>1198</v>
      </c>
      <c r="E200" s="54" t="s">
        <v>23</v>
      </c>
      <c r="F200" s="53" t="s">
        <v>1199</v>
      </c>
      <c r="G200" s="53" t="s">
        <v>4049</v>
      </c>
      <c r="H200" s="61" t="s">
        <v>34</v>
      </c>
    </row>
    <row r="201" spans="1:8" ht="27" thickBot="1">
      <c r="A201" s="51">
        <v>200</v>
      </c>
      <c r="B201" s="52">
        <v>5</v>
      </c>
      <c r="C201" s="53" t="s">
        <v>830</v>
      </c>
      <c r="D201" s="53" t="s">
        <v>1200</v>
      </c>
      <c r="E201" s="56" t="s">
        <v>12</v>
      </c>
      <c r="F201" s="53" t="s">
        <v>1201</v>
      </c>
      <c r="G201" s="53" t="s">
        <v>4050</v>
      </c>
      <c r="H201" s="56" t="s">
        <v>87</v>
      </c>
    </row>
    <row r="202" spans="1:8" ht="27" thickBot="1">
      <c r="A202" s="51">
        <v>201</v>
      </c>
      <c r="B202" s="52">
        <v>3</v>
      </c>
      <c r="C202" s="53" t="s">
        <v>778</v>
      </c>
      <c r="D202" s="63" t="s">
        <v>1202</v>
      </c>
      <c r="E202" s="67" t="s">
        <v>109</v>
      </c>
      <c r="F202" s="53" t="s">
        <v>1203</v>
      </c>
      <c r="G202" s="53" t="s">
        <v>4051</v>
      </c>
      <c r="H202" s="53" t="s">
        <v>3907</v>
      </c>
    </row>
    <row r="203" spans="1:8" ht="27" thickBot="1">
      <c r="A203" s="51">
        <v>202</v>
      </c>
      <c r="B203" s="52">
        <v>5</v>
      </c>
      <c r="C203" s="53" t="s">
        <v>830</v>
      </c>
      <c r="D203" s="53" t="s">
        <v>1204</v>
      </c>
      <c r="E203" s="56" t="s">
        <v>12</v>
      </c>
      <c r="F203" s="53" t="s">
        <v>1205</v>
      </c>
      <c r="G203" s="53" t="s">
        <v>1206</v>
      </c>
      <c r="H203" s="62" t="s">
        <v>94</v>
      </c>
    </row>
    <row r="204" spans="1:8" ht="13.8" thickBot="1">
      <c r="A204" s="51">
        <v>203</v>
      </c>
      <c r="B204" s="52">
        <v>9</v>
      </c>
      <c r="C204" s="53" t="s">
        <v>847</v>
      </c>
      <c r="D204" s="53" t="s">
        <v>1207</v>
      </c>
      <c r="E204" s="56" t="s">
        <v>12</v>
      </c>
      <c r="F204" s="53" t="s">
        <v>1208</v>
      </c>
      <c r="G204" s="53" t="s">
        <v>4052</v>
      </c>
      <c r="H204" s="62" t="s">
        <v>94</v>
      </c>
    </row>
    <row r="205" spans="1:8" ht="27" thickBot="1">
      <c r="A205" s="51">
        <v>204</v>
      </c>
      <c r="B205" s="52">
        <v>7</v>
      </c>
      <c r="C205" s="53" t="s">
        <v>3889</v>
      </c>
      <c r="D205" s="53" t="s">
        <v>1209</v>
      </c>
      <c r="E205" s="54" t="s">
        <v>23</v>
      </c>
      <c r="F205" s="53" t="s">
        <v>1210</v>
      </c>
      <c r="G205" s="53" t="s">
        <v>4053</v>
      </c>
      <c r="H205" s="60" t="s">
        <v>48</v>
      </c>
    </row>
    <row r="206" spans="1:8" ht="27" thickBot="1">
      <c r="A206" s="51">
        <v>205</v>
      </c>
      <c r="B206" s="52">
        <v>11</v>
      </c>
      <c r="C206" s="53" t="s">
        <v>838</v>
      </c>
      <c r="D206" s="53" t="s">
        <v>1211</v>
      </c>
      <c r="E206" s="59" t="s">
        <v>74</v>
      </c>
      <c r="F206" s="53" t="s">
        <v>1212</v>
      </c>
      <c r="G206" s="53" t="s">
        <v>4054</v>
      </c>
      <c r="H206" s="53" t="s">
        <v>3907</v>
      </c>
    </row>
    <row r="207" spans="1:8" ht="27" thickBot="1">
      <c r="A207" s="51">
        <v>206</v>
      </c>
      <c r="B207" s="52">
        <v>8</v>
      </c>
      <c r="C207" s="53" t="s">
        <v>3891</v>
      </c>
      <c r="D207" s="53" t="s">
        <v>1213</v>
      </c>
      <c r="E207" s="54" t="s">
        <v>23</v>
      </c>
      <c r="F207" s="53" t="s">
        <v>1214</v>
      </c>
      <c r="G207" s="53" t="s">
        <v>4055</v>
      </c>
      <c r="H207" s="69" t="s">
        <v>60</v>
      </c>
    </row>
    <row r="208" spans="1:8" ht="27" thickBot="1">
      <c r="A208" s="51">
        <v>207</v>
      </c>
      <c r="B208" s="52" t="s">
        <v>1215</v>
      </c>
      <c r="C208" s="53" t="s">
        <v>3891</v>
      </c>
      <c r="D208" s="53" t="s">
        <v>1172</v>
      </c>
      <c r="E208" s="54" t="s">
        <v>23</v>
      </c>
      <c r="F208" s="53" t="s">
        <v>1216</v>
      </c>
      <c r="G208" s="53" t="s">
        <v>4045</v>
      </c>
      <c r="H208" s="69" t="s">
        <v>60</v>
      </c>
    </row>
    <row r="209" spans="1:12" ht="27" thickBot="1">
      <c r="A209" s="51">
        <v>208</v>
      </c>
      <c r="B209" s="52">
        <v>12</v>
      </c>
      <c r="C209" s="53" t="s">
        <v>1217</v>
      </c>
      <c r="D209" s="53" t="s">
        <v>1182</v>
      </c>
      <c r="E209" s="54" t="s">
        <v>23</v>
      </c>
      <c r="F209" s="53" t="s">
        <v>1183</v>
      </c>
      <c r="G209" s="53" t="s">
        <v>1218</v>
      </c>
      <c r="H209" s="58" t="s">
        <v>90</v>
      </c>
    </row>
    <row r="210" spans="1:12" ht="27" thickBot="1">
      <c r="A210" s="51">
        <v>209</v>
      </c>
      <c r="B210" s="53"/>
      <c r="C210" s="53"/>
      <c r="D210" s="53" t="s">
        <v>890</v>
      </c>
      <c r="E210" s="54" t="s">
        <v>3890</v>
      </c>
      <c r="F210" s="53" t="s">
        <v>891</v>
      </c>
      <c r="G210" s="53" t="s">
        <v>1219</v>
      </c>
      <c r="H210" s="56" t="s">
        <v>87</v>
      </c>
    </row>
    <row r="211" spans="1:12" ht="13.8" thickBot="1">
      <c r="A211" s="51">
        <v>210</v>
      </c>
      <c r="B211" s="53"/>
      <c r="C211" s="53"/>
      <c r="D211" s="53" t="s">
        <v>768</v>
      </c>
      <c r="E211" s="56" t="s">
        <v>12</v>
      </c>
      <c r="F211" s="53" t="s">
        <v>769</v>
      </c>
      <c r="G211" s="53" t="s">
        <v>4056</v>
      </c>
      <c r="H211" s="56" t="s">
        <v>87</v>
      </c>
      <c r="J211" s="24"/>
      <c r="K211" s="24"/>
      <c r="L211" s="24"/>
    </row>
    <row r="212" spans="1:12" ht="13.8" thickBot="1">
      <c r="A212" s="51">
        <v>211</v>
      </c>
      <c r="B212" s="53"/>
      <c r="C212" s="53"/>
      <c r="D212" s="53" t="s">
        <v>4057</v>
      </c>
      <c r="E212" s="56" t="s">
        <v>12</v>
      </c>
      <c r="F212" s="53" t="s">
        <v>4058</v>
      </c>
      <c r="G212" s="53" t="s">
        <v>4059</v>
      </c>
      <c r="H212" s="62" t="s">
        <v>94</v>
      </c>
      <c r="J212" s="26"/>
      <c r="K212" s="24"/>
      <c r="L212" s="24"/>
    </row>
    <row r="213" spans="1:12" ht="13.8" thickBot="1">
      <c r="A213" s="51">
        <v>212</v>
      </c>
      <c r="B213" s="53"/>
      <c r="C213" s="53"/>
      <c r="D213" s="53" t="s">
        <v>4060</v>
      </c>
      <c r="E213" s="54" t="s">
        <v>23</v>
      </c>
      <c r="F213" s="53" t="s">
        <v>4061</v>
      </c>
      <c r="G213" s="53" t="s">
        <v>4062</v>
      </c>
      <c r="H213" s="74" t="s">
        <v>3978</v>
      </c>
      <c r="J213" s="26"/>
      <c r="K213" s="24"/>
      <c r="L213" s="24"/>
    </row>
    <row r="214" spans="1:12" ht="13.8" thickBot="1">
      <c r="A214" s="51">
        <v>213</v>
      </c>
      <c r="B214" s="53"/>
      <c r="C214" s="53"/>
      <c r="D214" s="53" t="s">
        <v>4063</v>
      </c>
      <c r="E214" s="54" t="s">
        <v>23</v>
      </c>
      <c r="F214" s="53" t="s">
        <v>4064</v>
      </c>
      <c r="G214" s="53" t="s">
        <v>4065</v>
      </c>
      <c r="H214" s="74" t="s">
        <v>3978</v>
      </c>
      <c r="J214" s="26"/>
      <c r="K214" s="24"/>
      <c r="L214" s="24"/>
    </row>
    <row r="215" spans="1:12" ht="13.2" customHeight="1">
      <c r="A215" s="76"/>
      <c r="B215" s="77"/>
      <c r="C215" s="77"/>
      <c r="D215" s="77"/>
      <c r="E215" s="77"/>
      <c r="F215" s="77"/>
      <c r="G215" s="77"/>
      <c r="H215" s="77"/>
      <c r="J215" s="26"/>
      <c r="K215" s="24"/>
      <c r="L215" s="24"/>
    </row>
    <row r="216" spans="1:12" ht="15" customHeight="1">
      <c r="A216" s="78"/>
      <c r="B216" s="79"/>
      <c r="C216" s="79"/>
      <c r="D216" s="79"/>
      <c r="E216" s="79"/>
      <c r="F216" s="79"/>
      <c r="G216" s="79"/>
      <c r="H216" s="79"/>
      <c r="J216" s="26"/>
      <c r="K216" s="24"/>
      <c r="L216" s="24"/>
    </row>
    <row r="217" spans="1:12" ht="15" customHeight="1">
      <c r="A217" s="78"/>
      <c r="B217" s="79"/>
      <c r="C217" s="79"/>
      <c r="D217" s="79"/>
      <c r="E217" s="79"/>
      <c r="F217" s="79"/>
      <c r="G217" s="79"/>
      <c r="H217" s="79"/>
      <c r="J217" s="26"/>
      <c r="K217" s="24"/>
      <c r="L217" s="24"/>
    </row>
    <row r="218" spans="1:12" ht="15" customHeight="1">
      <c r="A218" s="78"/>
      <c r="B218" s="79"/>
      <c r="C218" s="79"/>
      <c r="D218" s="79"/>
      <c r="E218" s="79"/>
      <c r="F218" s="79"/>
      <c r="G218" s="79"/>
      <c r="H218" s="79"/>
      <c r="J218" s="26"/>
      <c r="K218" s="24"/>
      <c r="L218" s="24"/>
    </row>
    <row r="219" spans="1:12" ht="15" customHeight="1">
      <c r="A219" s="78"/>
      <c r="B219" s="79"/>
      <c r="C219" s="79"/>
      <c r="D219" s="79"/>
      <c r="E219" s="79"/>
      <c r="F219" s="79"/>
      <c r="G219" s="79"/>
      <c r="H219" s="79"/>
      <c r="J219" s="26"/>
      <c r="K219" s="24"/>
      <c r="L219" s="24"/>
    </row>
    <row r="220" spans="1:12" ht="15" customHeight="1">
      <c r="A220" s="78"/>
      <c r="B220" s="79"/>
      <c r="C220" s="79"/>
      <c r="D220" s="79"/>
      <c r="E220" s="79"/>
      <c r="F220" s="79"/>
      <c r="G220" s="79"/>
      <c r="H220" s="79"/>
      <c r="J220" s="26"/>
      <c r="K220" s="24"/>
      <c r="L220" s="24"/>
    </row>
    <row r="221" spans="1:12" ht="15" customHeight="1">
      <c r="A221" s="78"/>
      <c r="B221" s="79"/>
      <c r="C221" s="79"/>
      <c r="D221" s="79"/>
      <c r="E221" s="79"/>
      <c r="F221" s="79"/>
      <c r="G221" s="79"/>
      <c r="H221" s="79"/>
      <c r="J221" s="26"/>
      <c r="K221" s="24"/>
      <c r="L221" s="24"/>
    </row>
    <row r="222" spans="1:12" ht="15" customHeight="1">
      <c r="A222" s="78"/>
      <c r="B222" s="79"/>
      <c r="C222" s="79"/>
      <c r="D222" s="79"/>
      <c r="E222" s="79"/>
      <c r="F222" s="79"/>
      <c r="G222" s="79"/>
      <c r="H222" s="79"/>
      <c r="J222" s="26"/>
      <c r="K222" s="24"/>
      <c r="L222" s="24"/>
    </row>
    <row r="223" spans="1:12" ht="15" customHeight="1">
      <c r="A223" s="78"/>
      <c r="B223" s="79"/>
      <c r="C223" s="79"/>
      <c r="D223" s="79"/>
      <c r="E223" s="79"/>
      <c r="F223" s="79"/>
      <c r="G223" s="79"/>
      <c r="H223" s="79"/>
      <c r="J223" s="26"/>
      <c r="K223" s="24"/>
      <c r="L223" s="24"/>
    </row>
    <row r="224" spans="1:12" ht="15" customHeight="1">
      <c r="A224" s="78"/>
      <c r="B224" s="79"/>
      <c r="C224" s="79"/>
      <c r="D224" s="79"/>
      <c r="E224" s="79"/>
      <c r="F224" s="79"/>
      <c r="G224" s="79"/>
      <c r="H224" s="79"/>
      <c r="J224" s="26"/>
      <c r="K224" s="24"/>
      <c r="L224" s="24"/>
    </row>
    <row r="225" spans="1:12" ht="15" customHeight="1">
      <c r="A225" s="78"/>
      <c r="B225" s="79"/>
      <c r="C225" s="79"/>
      <c r="D225" s="79"/>
      <c r="E225" s="79"/>
      <c r="F225" s="79"/>
      <c r="G225" s="79"/>
      <c r="H225" s="79"/>
      <c r="J225" s="26"/>
      <c r="K225" s="24"/>
      <c r="L225" s="24"/>
    </row>
    <row r="226" spans="1:12" ht="15" customHeight="1">
      <c r="A226" s="78"/>
      <c r="B226" s="79"/>
      <c r="C226" s="79"/>
      <c r="D226" s="79"/>
      <c r="E226" s="79"/>
      <c r="F226" s="79"/>
      <c r="G226" s="79"/>
      <c r="H226" s="79"/>
      <c r="J226" s="26"/>
      <c r="K226" s="24"/>
      <c r="L226" s="24"/>
    </row>
    <row r="227" spans="1:12" ht="15" customHeight="1">
      <c r="A227" s="78"/>
      <c r="B227" s="79"/>
      <c r="C227" s="79"/>
      <c r="D227" s="79"/>
      <c r="E227" s="79"/>
      <c r="F227" s="79"/>
      <c r="G227" s="79"/>
      <c r="H227" s="79"/>
      <c r="J227" s="26"/>
      <c r="K227" s="24"/>
      <c r="L227" s="24"/>
    </row>
    <row r="228" spans="1:12" ht="15" customHeight="1">
      <c r="A228" s="78"/>
      <c r="B228" s="79"/>
      <c r="C228" s="79"/>
      <c r="D228" s="79"/>
      <c r="E228" s="79"/>
      <c r="F228" s="79"/>
      <c r="G228" s="79"/>
      <c r="H228" s="79"/>
      <c r="J228" s="26"/>
      <c r="K228" s="24"/>
      <c r="L228" s="24"/>
    </row>
    <row r="229" spans="1:12" ht="15" customHeight="1">
      <c r="A229" s="78"/>
      <c r="B229" s="79"/>
      <c r="C229" s="79"/>
      <c r="D229" s="79"/>
      <c r="E229" s="79"/>
      <c r="F229" s="79"/>
      <c r="G229" s="79"/>
      <c r="H229" s="79"/>
      <c r="J229" s="26"/>
      <c r="K229" s="24"/>
      <c r="L229" s="24"/>
    </row>
    <row r="230" spans="1:12" ht="15" customHeight="1">
      <c r="A230" s="78"/>
      <c r="B230" s="79"/>
      <c r="C230" s="79"/>
      <c r="D230" s="79"/>
      <c r="E230" s="79"/>
      <c r="F230" s="79"/>
      <c r="G230" s="79"/>
      <c r="H230" s="79"/>
      <c r="J230" s="26"/>
      <c r="K230" s="24"/>
      <c r="L230" s="24"/>
    </row>
    <row r="231" spans="1:12" ht="13.2" customHeight="1">
      <c r="A231" s="78"/>
      <c r="B231" s="79"/>
      <c r="C231" s="79"/>
      <c r="D231" s="79"/>
      <c r="E231" s="79"/>
      <c r="F231" s="79"/>
      <c r="G231" s="79"/>
      <c r="H231" s="79"/>
      <c r="J231" s="26"/>
      <c r="K231" s="24"/>
      <c r="L231" s="24"/>
    </row>
    <row r="232" spans="1:12" ht="15" customHeight="1">
      <c r="A232" s="78"/>
      <c r="B232" s="79"/>
      <c r="C232" s="79"/>
      <c r="D232" s="79"/>
      <c r="E232" s="79"/>
      <c r="F232" s="79"/>
      <c r="G232" s="79"/>
      <c r="H232" s="79"/>
      <c r="J232" s="26"/>
      <c r="K232" s="24"/>
      <c r="L232" s="24"/>
    </row>
    <row r="233" spans="1:12" ht="15" customHeight="1">
      <c r="A233" s="78"/>
      <c r="B233" s="79"/>
      <c r="C233" s="79"/>
      <c r="D233" s="79"/>
      <c r="E233" s="79"/>
      <c r="F233" s="79"/>
      <c r="G233" s="79"/>
      <c r="H233" s="79"/>
      <c r="J233" s="26"/>
      <c r="K233" s="24"/>
      <c r="L233" s="24"/>
    </row>
    <row r="234" spans="1:12" ht="15" customHeight="1">
      <c r="A234" s="78"/>
      <c r="B234" s="79"/>
      <c r="C234" s="79"/>
      <c r="D234" s="79"/>
      <c r="E234" s="79"/>
      <c r="F234" s="79"/>
      <c r="G234" s="79"/>
      <c r="H234" s="79"/>
      <c r="J234" s="26"/>
      <c r="K234" s="24"/>
      <c r="L234" s="24"/>
    </row>
    <row r="235" spans="1:12" ht="15" customHeight="1">
      <c r="A235" s="78"/>
      <c r="B235" s="79"/>
      <c r="C235" s="79"/>
      <c r="D235" s="79"/>
      <c r="E235" s="79"/>
      <c r="F235" s="79"/>
      <c r="G235" s="79"/>
      <c r="H235" s="79"/>
      <c r="J235" s="26"/>
      <c r="K235" s="24"/>
      <c r="L235" s="24"/>
    </row>
    <row r="236" spans="1:12" ht="15" customHeight="1">
      <c r="A236" s="78"/>
      <c r="B236" s="79"/>
      <c r="C236" s="79"/>
      <c r="D236" s="79"/>
      <c r="E236" s="79"/>
      <c r="F236" s="79"/>
      <c r="G236" s="79"/>
      <c r="H236" s="79"/>
      <c r="J236" s="26"/>
      <c r="K236" s="24"/>
      <c r="L236" s="24"/>
    </row>
    <row r="237" spans="1:12" ht="15" customHeight="1">
      <c r="A237" s="78"/>
      <c r="B237" s="79"/>
      <c r="C237" s="79"/>
      <c r="D237" s="79"/>
      <c r="E237" s="79"/>
      <c r="F237" s="79"/>
      <c r="G237" s="79"/>
      <c r="H237" s="79"/>
      <c r="J237" s="26"/>
      <c r="K237" s="24"/>
      <c r="L237" s="24"/>
    </row>
    <row r="238" spans="1:12" ht="15" customHeight="1">
      <c r="A238" s="78"/>
      <c r="B238" s="79"/>
      <c r="C238" s="79"/>
      <c r="D238" s="79"/>
      <c r="E238" s="79"/>
      <c r="F238" s="79"/>
      <c r="G238" s="79"/>
      <c r="H238" s="79"/>
      <c r="J238" s="26"/>
      <c r="K238" s="24"/>
      <c r="L238" s="24"/>
    </row>
    <row r="239" spans="1:12" ht="15" customHeight="1">
      <c r="A239" s="78"/>
      <c r="B239" s="79"/>
      <c r="C239" s="79"/>
      <c r="D239" s="79"/>
      <c r="E239" s="79"/>
      <c r="F239" s="79"/>
      <c r="G239" s="79"/>
      <c r="H239" s="79"/>
      <c r="J239" s="26"/>
      <c r="K239" s="24"/>
      <c r="L239" s="24"/>
    </row>
    <row r="240" spans="1:12" ht="15" customHeight="1">
      <c r="A240" s="78"/>
      <c r="B240" s="79"/>
      <c r="C240" s="79"/>
      <c r="D240" s="79"/>
      <c r="E240" s="79"/>
      <c r="F240" s="79"/>
      <c r="G240" s="79"/>
      <c r="H240" s="79"/>
      <c r="J240" s="26"/>
      <c r="K240" s="24"/>
      <c r="L240" s="24"/>
    </row>
    <row r="241" spans="1:12" ht="15" customHeight="1">
      <c r="A241" s="78"/>
      <c r="B241" s="79"/>
      <c r="C241" s="79"/>
      <c r="D241" s="79"/>
      <c r="E241" s="79"/>
      <c r="F241" s="79"/>
      <c r="G241" s="79"/>
      <c r="H241" s="79"/>
      <c r="J241" s="26"/>
      <c r="K241" s="24"/>
      <c r="L241" s="24"/>
    </row>
    <row r="242" spans="1:12" ht="15" customHeight="1">
      <c r="A242" s="78"/>
      <c r="B242" s="79"/>
      <c r="C242" s="79"/>
      <c r="D242" s="79"/>
      <c r="E242" s="79"/>
      <c r="F242" s="79"/>
      <c r="G242" s="79"/>
      <c r="H242" s="79"/>
      <c r="J242" s="26"/>
      <c r="K242" s="24"/>
      <c r="L242" s="24"/>
    </row>
    <row r="243" spans="1:12" ht="15" customHeight="1">
      <c r="A243" s="78"/>
      <c r="B243" s="79"/>
      <c r="C243" s="79"/>
      <c r="D243" s="79"/>
      <c r="E243" s="79"/>
      <c r="F243" s="79"/>
      <c r="G243" s="79"/>
      <c r="H243" s="79"/>
      <c r="J243" s="26"/>
      <c r="K243" s="24"/>
      <c r="L243" s="24"/>
    </row>
    <row r="244" spans="1:12" ht="15" customHeight="1">
      <c r="A244" s="78"/>
      <c r="B244" s="79"/>
      <c r="C244" s="79"/>
      <c r="D244" s="79"/>
      <c r="E244" s="79"/>
      <c r="F244" s="79"/>
      <c r="G244" s="79"/>
      <c r="H244" s="79"/>
      <c r="J244" s="26"/>
      <c r="K244" s="24"/>
      <c r="L244" s="24"/>
    </row>
    <row r="245" spans="1:12" ht="15" customHeight="1">
      <c r="A245" s="78"/>
      <c r="B245" s="79"/>
      <c r="C245" s="79"/>
      <c r="D245" s="79"/>
      <c r="E245" s="79"/>
      <c r="F245" s="79"/>
      <c r="G245" s="79"/>
      <c r="H245" s="79"/>
      <c r="J245" s="26"/>
      <c r="K245" s="24"/>
      <c r="L245" s="24"/>
    </row>
    <row r="246" spans="1:12" ht="15" customHeight="1">
      <c r="A246" s="78"/>
      <c r="B246" s="79"/>
      <c r="C246" s="79"/>
      <c r="D246" s="79"/>
      <c r="E246" s="79"/>
      <c r="F246" s="79"/>
      <c r="G246" s="79"/>
      <c r="H246" s="79"/>
      <c r="J246" s="26"/>
      <c r="K246" s="24"/>
      <c r="L246" s="24"/>
    </row>
    <row r="247" spans="1:12" ht="15" customHeight="1">
      <c r="A247" s="78"/>
      <c r="B247" s="79"/>
      <c r="C247" s="79"/>
      <c r="D247" s="79"/>
      <c r="E247" s="79"/>
      <c r="F247" s="79"/>
      <c r="G247" s="79"/>
      <c r="H247" s="79"/>
      <c r="J247" s="26"/>
      <c r="K247" s="24"/>
      <c r="L247" s="24"/>
    </row>
    <row r="248" spans="1:12" ht="15" customHeight="1">
      <c r="A248" s="78"/>
      <c r="B248" s="79"/>
      <c r="C248" s="79"/>
      <c r="D248" s="79"/>
      <c r="E248" s="79"/>
      <c r="F248" s="79"/>
      <c r="G248" s="79"/>
      <c r="H248" s="79"/>
      <c r="J248" s="26"/>
      <c r="K248" s="24"/>
      <c r="L248" s="24"/>
    </row>
    <row r="249" spans="1:12" ht="15" customHeight="1">
      <c r="A249" s="78"/>
      <c r="B249" s="79"/>
      <c r="C249" s="79"/>
      <c r="D249" s="79"/>
      <c r="E249" s="79"/>
      <c r="F249" s="79"/>
      <c r="G249" s="79"/>
      <c r="H249" s="79"/>
      <c r="J249" s="26"/>
      <c r="K249" s="24"/>
      <c r="L249" s="24"/>
    </row>
    <row r="250" spans="1:12" ht="15" customHeight="1">
      <c r="A250" s="78"/>
      <c r="B250" s="79"/>
      <c r="C250" s="79"/>
      <c r="D250" s="79"/>
      <c r="E250" s="79"/>
      <c r="F250" s="79"/>
      <c r="G250" s="79"/>
      <c r="H250" s="79"/>
      <c r="J250" s="26"/>
      <c r="K250" s="24"/>
      <c r="L250" s="24"/>
    </row>
    <row r="251" spans="1:12" ht="15" customHeight="1">
      <c r="A251" s="78"/>
      <c r="B251" s="79"/>
      <c r="C251" s="79"/>
      <c r="D251" s="79"/>
      <c r="E251" s="79"/>
      <c r="F251" s="79"/>
      <c r="G251" s="79"/>
      <c r="H251" s="79"/>
      <c r="J251" s="26"/>
      <c r="K251" s="24"/>
      <c r="L251" s="24"/>
    </row>
    <row r="252" spans="1:12" ht="15" customHeight="1">
      <c r="A252" s="78"/>
      <c r="B252" s="79"/>
      <c r="C252" s="79"/>
      <c r="D252" s="79"/>
      <c r="E252" s="79"/>
      <c r="F252" s="79"/>
      <c r="G252" s="79"/>
      <c r="H252" s="79"/>
      <c r="J252" s="26"/>
      <c r="K252" s="24"/>
      <c r="L252" s="24"/>
    </row>
    <row r="253" spans="1:12" ht="15" customHeight="1">
      <c r="A253" s="78"/>
      <c r="B253" s="79"/>
      <c r="C253" s="79"/>
      <c r="D253" s="79"/>
      <c r="E253" s="79"/>
      <c r="F253" s="79"/>
      <c r="G253" s="79"/>
      <c r="H253" s="79"/>
      <c r="J253" s="26"/>
      <c r="K253" s="24"/>
      <c r="L253" s="24"/>
    </row>
    <row r="254" spans="1:12" ht="15" customHeight="1">
      <c r="A254" s="78"/>
      <c r="B254" s="79"/>
      <c r="C254" s="79"/>
      <c r="D254" s="79"/>
      <c r="E254" s="79"/>
      <c r="F254" s="79"/>
      <c r="G254" s="79"/>
      <c r="H254" s="79"/>
      <c r="J254" s="26"/>
      <c r="K254" s="24"/>
      <c r="L254" s="24"/>
    </row>
    <row r="255" spans="1:12" ht="15" customHeight="1">
      <c r="A255" s="78"/>
      <c r="B255" s="79"/>
      <c r="C255" s="79"/>
      <c r="D255" s="79"/>
      <c r="E255" s="79"/>
      <c r="F255" s="79"/>
      <c r="G255" s="79"/>
      <c r="H255" s="79"/>
      <c r="J255" s="26"/>
      <c r="K255" s="24"/>
      <c r="L255" s="24"/>
    </row>
    <row r="256" spans="1:12" ht="15" customHeight="1">
      <c r="A256" s="78"/>
      <c r="B256" s="79"/>
      <c r="C256" s="79"/>
      <c r="D256" s="79"/>
      <c r="E256" s="79"/>
      <c r="F256" s="79"/>
      <c r="G256" s="79"/>
      <c r="H256" s="79"/>
      <c r="J256" s="26"/>
      <c r="K256" s="24"/>
      <c r="L256" s="24"/>
    </row>
    <row r="257" spans="1:12" ht="15" customHeight="1">
      <c r="A257" s="78"/>
      <c r="B257" s="79"/>
      <c r="C257" s="79"/>
      <c r="D257" s="79"/>
      <c r="E257" s="79"/>
      <c r="F257" s="79"/>
      <c r="G257" s="79"/>
      <c r="H257" s="79"/>
      <c r="J257" s="26"/>
      <c r="K257" s="24"/>
      <c r="L257" s="24"/>
    </row>
    <row r="258" spans="1:12" ht="15" customHeight="1">
      <c r="A258" s="78"/>
      <c r="B258" s="79"/>
      <c r="C258" s="79"/>
      <c r="D258" s="79"/>
      <c r="E258" s="79"/>
      <c r="F258" s="79"/>
      <c r="G258" s="79"/>
      <c r="H258" s="79"/>
      <c r="J258" s="26"/>
      <c r="K258" s="24"/>
      <c r="L258" s="24"/>
    </row>
    <row r="259" spans="1:12" ht="15" customHeight="1">
      <c r="A259" s="78"/>
      <c r="B259" s="79"/>
      <c r="C259" s="79"/>
      <c r="D259" s="79"/>
      <c r="E259" s="79"/>
      <c r="F259" s="79"/>
      <c r="G259" s="79"/>
      <c r="H259" s="79"/>
      <c r="J259" s="26"/>
      <c r="K259" s="24"/>
      <c r="L259" s="24"/>
    </row>
    <row r="260" spans="1:12" ht="15" customHeight="1">
      <c r="A260" s="78"/>
      <c r="B260" s="79"/>
      <c r="C260" s="79"/>
      <c r="D260" s="79"/>
      <c r="E260" s="79"/>
      <c r="F260" s="79"/>
      <c r="G260" s="79"/>
      <c r="H260" s="79"/>
      <c r="J260" s="26"/>
      <c r="K260" s="24"/>
      <c r="L260" s="24"/>
    </row>
    <row r="261" spans="1:12" ht="15" customHeight="1">
      <c r="A261" s="78"/>
      <c r="B261" s="79"/>
      <c r="C261" s="79"/>
      <c r="D261" s="79"/>
      <c r="E261" s="79"/>
      <c r="F261" s="79"/>
      <c r="G261" s="79"/>
      <c r="H261" s="79"/>
      <c r="J261" s="26"/>
      <c r="K261" s="24"/>
      <c r="L261" s="24"/>
    </row>
    <row r="262" spans="1:12" ht="15" customHeight="1">
      <c r="A262" s="78"/>
      <c r="B262" s="79"/>
      <c r="C262" s="79"/>
      <c r="D262" s="79"/>
      <c r="E262" s="79"/>
      <c r="F262" s="79"/>
      <c r="G262" s="79"/>
      <c r="H262" s="79"/>
      <c r="J262" s="26"/>
      <c r="K262" s="24"/>
      <c r="L262" s="24"/>
    </row>
    <row r="263" spans="1:12" ht="15" customHeight="1">
      <c r="A263" s="78"/>
      <c r="B263" s="79"/>
      <c r="C263" s="79"/>
      <c r="D263" s="79"/>
      <c r="E263" s="79"/>
      <c r="F263" s="79"/>
      <c r="G263" s="79"/>
      <c r="H263" s="79"/>
      <c r="J263" s="26"/>
      <c r="K263" s="24"/>
      <c r="L263" s="24"/>
    </row>
    <row r="264" spans="1:12" ht="15" customHeight="1">
      <c r="A264" s="78"/>
      <c r="B264" s="79"/>
      <c r="C264" s="79"/>
      <c r="D264" s="79"/>
      <c r="E264" s="79"/>
      <c r="F264" s="79"/>
      <c r="G264" s="79"/>
      <c r="H264" s="79"/>
      <c r="J264" s="26"/>
      <c r="K264" s="24"/>
      <c r="L264" s="24"/>
    </row>
    <row r="265" spans="1:12" ht="15" customHeight="1">
      <c r="A265" s="78"/>
      <c r="B265" s="79"/>
      <c r="C265" s="79"/>
      <c r="D265" s="79"/>
      <c r="E265" s="79"/>
      <c r="F265" s="79"/>
      <c r="G265" s="79"/>
      <c r="H265" s="79"/>
      <c r="J265" s="26"/>
      <c r="K265" s="24"/>
      <c r="L265" s="24"/>
    </row>
    <row r="266" spans="1:12" ht="15" customHeight="1">
      <c r="A266" s="78"/>
      <c r="B266" s="79"/>
      <c r="C266" s="79"/>
      <c r="D266" s="79"/>
      <c r="E266" s="79"/>
      <c r="F266" s="79"/>
      <c r="G266" s="79"/>
      <c r="H266" s="79"/>
      <c r="J266" s="26"/>
      <c r="K266" s="24"/>
      <c r="L266" s="24"/>
    </row>
    <row r="267" spans="1:12" ht="15" customHeight="1">
      <c r="A267" s="78"/>
      <c r="B267" s="79"/>
      <c r="C267" s="79"/>
      <c r="D267" s="79"/>
      <c r="E267" s="79"/>
      <c r="F267" s="79"/>
      <c r="G267" s="79"/>
      <c r="H267" s="79"/>
      <c r="J267" s="26"/>
      <c r="K267" s="24"/>
      <c r="L267" s="24"/>
    </row>
    <row r="268" spans="1:12" ht="15" customHeight="1">
      <c r="A268" s="78"/>
      <c r="B268" s="79"/>
      <c r="C268" s="79"/>
      <c r="D268" s="79"/>
      <c r="E268" s="79"/>
      <c r="F268" s="79"/>
      <c r="G268" s="79"/>
      <c r="H268" s="79"/>
      <c r="J268" s="26"/>
      <c r="K268" s="24"/>
      <c r="L268" s="24"/>
    </row>
    <row r="269" spans="1:12" ht="15" customHeight="1">
      <c r="A269" s="78"/>
      <c r="B269" s="79"/>
      <c r="C269" s="79"/>
      <c r="D269" s="79"/>
      <c r="E269" s="79"/>
      <c r="F269" s="79"/>
      <c r="G269" s="79"/>
      <c r="H269" s="79"/>
      <c r="J269" s="26"/>
      <c r="K269" s="24"/>
      <c r="L269" s="24"/>
    </row>
    <row r="270" spans="1:12" ht="15" customHeight="1">
      <c r="A270" s="78"/>
      <c r="B270" s="79"/>
      <c r="C270" s="79"/>
      <c r="D270" s="79"/>
      <c r="E270" s="79"/>
      <c r="F270" s="79"/>
      <c r="G270" s="79"/>
      <c r="H270" s="79"/>
      <c r="J270" s="26"/>
      <c r="K270" s="24"/>
      <c r="L270" s="24"/>
    </row>
    <row r="271" spans="1:12" ht="15" customHeight="1">
      <c r="A271" s="78"/>
      <c r="B271" s="79"/>
      <c r="C271" s="79"/>
      <c r="D271" s="79"/>
      <c r="E271" s="79"/>
      <c r="F271" s="79"/>
      <c r="G271" s="79"/>
      <c r="H271" s="79"/>
      <c r="J271" s="26"/>
      <c r="K271" s="24"/>
      <c r="L271" s="24"/>
    </row>
    <row r="272" spans="1:12" ht="15" customHeight="1">
      <c r="A272" s="78"/>
      <c r="B272" s="79"/>
      <c r="C272" s="79"/>
      <c r="D272" s="79"/>
      <c r="E272" s="79"/>
      <c r="F272" s="79"/>
      <c r="G272" s="79"/>
      <c r="H272" s="79"/>
      <c r="J272" s="26"/>
      <c r="K272" s="24"/>
      <c r="L272" s="24"/>
    </row>
    <row r="273" spans="1:12" ht="15" customHeight="1">
      <c r="A273" s="78"/>
      <c r="B273" s="79"/>
      <c r="C273" s="79"/>
      <c r="D273" s="79"/>
      <c r="E273" s="79"/>
      <c r="F273" s="79"/>
      <c r="G273" s="79"/>
      <c r="H273" s="79"/>
      <c r="J273" s="26"/>
      <c r="K273" s="24"/>
      <c r="L273" s="24"/>
    </row>
    <row r="274" spans="1:12" ht="15" customHeight="1">
      <c r="A274" s="78"/>
      <c r="B274" s="79"/>
      <c r="C274" s="79"/>
      <c r="D274" s="79"/>
      <c r="E274" s="79"/>
      <c r="F274" s="79"/>
      <c r="G274" s="79"/>
      <c r="H274" s="79"/>
      <c r="J274" s="26"/>
      <c r="K274" s="24"/>
      <c r="L274" s="24"/>
    </row>
    <row r="275" spans="1:12" ht="15" customHeight="1">
      <c r="A275" s="78"/>
      <c r="B275" s="79"/>
      <c r="C275" s="79"/>
      <c r="D275" s="79"/>
      <c r="E275" s="79"/>
      <c r="F275" s="79"/>
      <c r="G275" s="79"/>
      <c r="H275" s="79"/>
      <c r="J275" s="26"/>
      <c r="K275" s="24"/>
      <c r="L275" s="24"/>
    </row>
    <row r="276" spans="1:12" ht="15" customHeight="1">
      <c r="A276" s="78"/>
      <c r="B276" s="79"/>
      <c r="C276" s="79"/>
      <c r="D276" s="79"/>
      <c r="E276" s="79"/>
      <c r="F276" s="79"/>
      <c r="G276" s="79"/>
      <c r="H276" s="79"/>
      <c r="J276" s="26"/>
      <c r="K276" s="24"/>
      <c r="L276" s="24"/>
    </row>
    <row r="277" spans="1:12" ht="15" customHeight="1">
      <c r="A277" s="78"/>
      <c r="B277" s="79"/>
      <c r="C277" s="79"/>
      <c r="D277" s="79"/>
      <c r="E277" s="79"/>
      <c r="F277" s="79"/>
      <c r="G277" s="79"/>
      <c r="H277" s="79"/>
      <c r="J277" s="26"/>
      <c r="K277" s="24"/>
      <c r="L277" s="24"/>
    </row>
    <row r="278" spans="1:12" ht="15" customHeight="1">
      <c r="A278" s="78"/>
      <c r="B278" s="79"/>
      <c r="C278" s="79"/>
      <c r="D278" s="79"/>
      <c r="E278" s="79"/>
      <c r="F278" s="79"/>
      <c r="G278" s="79"/>
      <c r="H278" s="79"/>
      <c r="J278" s="26"/>
      <c r="K278" s="24"/>
      <c r="L278" s="24"/>
    </row>
    <row r="279" spans="1:12" ht="15" customHeight="1">
      <c r="A279" s="78"/>
      <c r="B279" s="79"/>
      <c r="C279" s="79"/>
      <c r="D279" s="79"/>
      <c r="E279" s="79"/>
      <c r="F279" s="79"/>
      <c r="G279" s="79"/>
      <c r="H279" s="79"/>
      <c r="J279" s="26"/>
      <c r="K279" s="24"/>
      <c r="L279" s="24"/>
    </row>
    <row r="280" spans="1:12" ht="15" customHeight="1">
      <c r="A280" s="78"/>
      <c r="B280" s="79"/>
      <c r="C280" s="79"/>
      <c r="D280" s="79"/>
      <c r="E280" s="79"/>
      <c r="F280" s="79"/>
      <c r="G280" s="79"/>
      <c r="H280" s="79"/>
      <c r="J280" s="26"/>
      <c r="K280" s="24"/>
      <c r="L280" s="24"/>
    </row>
    <row r="281" spans="1:12" ht="15" customHeight="1">
      <c r="A281" s="78"/>
      <c r="B281" s="79"/>
      <c r="C281" s="79"/>
      <c r="D281" s="79"/>
      <c r="E281" s="79"/>
      <c r="F281" s="79"/>
      <c r="G281" s="79"/>
      <c r="H281" s="79"/>
      <c r="J281" s="26"/>
      <c r="K281" s="24"/>
      <c r="L281" s="24"/>
    </row>
    <row r="282" spans="1:12" ht="15" customHeight="1">
      <c r="A282" s="78"/>
      <c r="B282" s="79"/>
      <c r="C282" s="79"/>
      <c r="D282" s="79"/>
      <c r="E282" s="79"/>
      <c r="F282" s="79"/>
      <c r="G282" s="79"/>
      <c r="H282" s="79"/>
      <c r="J282" s="26"/>
      <c r="K282" s="24"/>
      <c r="L282" s="24"/>
    </row>
    <row r="283" spans="1:12" ht="15" customHeight="1">
      <c r="A283" s="78"/>
      <c r="B283" s="79"/>
      <c r="C283" s="79"/>
      <c r="D283" s="79"/>
      <c r="E283" s="79"/>
      <c r="F283" s="79"/>
      <c r="G283" s="79"/>
      <c r="H283" s="79"/>
      <c r="J283" s="26"/>
      <c r="K283" s="24"/>
      <c r="L283" s="24"/>
    </row>
    <row r="284" spans="1:12" ht="15" customHeight="1">
      <c r="A284" s="78"/>
      <c r="B284" s="79"/>
      <c r="C284" s="79"/>
      <c r="D284" s="79"/>
      <c r="E284" s="79"/>
      <c r="F284" s="79"/>
      <c r="G284" s="79"/>
      <c r="H284" s="79"/>
      <c r="J284" s="26"/>
      <c r="K284" s="24"/>
      <c r="L284" s="24"/>
    </row>
    <row r="285" spans="1:12" ht="15" customHeight="1">
      <c r="A285" s="78"/>
      <c r="B285" s="79"/>
      <c r="C285" s="79"/>
      <c r="D285" s="79"/>
      <c r="E285" s="79"/>
      <c r="F285" s="79"/>
      <c r="G285" s="79"/>
      <c r="H285" s="79"/>
      <c r="J285" s="26"/>
      <c r="K285" s="24"/>
      <c r="L285" s="24"/>
    </row>
    <row r="286" spans="1:12" ht="15" customHeight="1">
      <c r="A286" s="78"/>
      <c r="B286" s="79"/>
      <c r="C286" s="79"/>
      <c r="D286" s="79"/>
      <c r="E286" s="79"/>
      <c r="F286" s="79"/>
      <c r="G286" s="79"/>
      <c r="H286" s="79"/>
      <c r="J286" s="26"/>
      <c r="K286" s="24"/>
      <c r="L286" s="24"/>
    </row>
    <row r="287" spans="1:12" ht="15" customHeight="1">
      <c r="A287" s="78"/>
      <c r="B287" s="79"/>
      <c r="C287" s="79"/>
      <c r="D287" s="79"/>
      <c r="E287" s="79"/>
      <c r="F287" s="79"/>
      <c r="G287" s="79"/>
      <c r="H287" s="79"/>
      <c r="J287" s="26"/>
      <c r="K287" s="24"/>
      <c r="L287" s="24"/>
    </row>
    <row r="288" spans="1:12" ht="15" customHeight="1">
      <c r="A288" s="78"/>
      <c r="B288" s="79"/>
      <c r="C288" s="79"/>
      <c r="D288" s="79"/>
      <c r="E288" s="79"/>
      <c r="F288" s="79"/>
      <c r="G288" s="79"/>
      <c r="H288" s="79"/>
      <c r="J288" s="26"/>
      <c r="K288" s="24"/>
      <c r="L288" s="24"/>
    </row>
    <row r="289" spans="1:12" ht="15" customHeight="1">
      <c r="A289" s="78"/>
      <c r="B289" s="79"/>
      <c r="C289" s="79"/>
      <c r="D289" s="79"/>
      <c r="E289" s="79"/>
      <c r="F289" s="79"/>
      <c r="G289" s="79"/>
      <c r="H289" s="79"/>
      <c r="J289" s="26"/>
      <c r="K289" s="24"/>
      <c r="L289" s="24"/>
    </row>
    <row r="290" spans="1:12" ht="15" customHeight="1">
      <c r="A290" s="78"/>
      <c r="B290" s="79"/>
      <c r="C290" s="79"/>
      <c r="D290" s="79"/>
      <c r="E290" s="79"/>
      <c r="F290" s="79"/>
      <c r="G290" s="79"/>
      <c r="H290" s="79"/>
      <c r="J290" s="26"/>
      <c r="K290" s="24"/>
      <c r="L290" s="24"/>
    </row>
    <row r="291" spans="1:12" ht="15" customHeight="1">
      <c r="A291" s="78"/>
      <c r="B291" s="79"/>
      <c r="C291" s="79"/>
      <c r="D291" s="79"/>
      <c r="E291" s="79"/>
      <c r="F291" s="79"/>
      <c r="G291" s="79"/>
      <c r="H291" s="79"/>
      <c r="J291" s="26"/>
      <c r="K291" s="24"/>
      <c r="L291" s="24"/>
    </row>
    <row r="292" spans="1:12" ht="15" customHeight="1">
      <c r="A292" s="78"/>
      <c r="B292" s="79"/>
      <c r="C292" s="79"/>
      <c r="D292" s="79"/>
      <c r="E292" s="79"/>
      <c r="F292" s="79"/>
      <c r="G292" s="79"/>
      <c r="H292" s="79"/>
      <c r="J292" s="26"/>
      <c r="K292" s="24"/>
      <c r="L292" s="24"/>
    </row>
    <row r="293" spans="1:12" ht="15" customHeight="1">
      <c r="A293" s="78"/>
      <c r="B293" s="79"/>
      <c r="C293" s="79"/>
      <c r="D293" s="79"/>
      <c r="E293" s="79"/>
      <c r="F293" s="79"/>
      <c r="G293" s="79"/>
      <c r="H293" s="79"/>
      <c r="J293" s="26"/>
      <c r="K293" s="24"/>
      <c r="L293" s="24"/>
    </row>
    <row r="294" spans="1:12" ht="15" customHeight="1">
      <c r="A294" s="78"/>
      <c r="B294" s="79"/>
      <c r="C294" s="79"/>
      <c r="D294" s="79"/>
      <c r="E294" s="79"/>
      <c r="F294" s="79"/>
      <c r="G294" s="79"/>
      <c r="H294" s="79"/>
      <c r="J294" s="26"/>
      <c r="K294" s="24"/>
      <c r="L294" s="24"/>
    </row>
    <row r="295" spans="1:12" ht="15" customHeight="1">
      <c r="A295" s="78"/>
      <c r="B295" s="79"/>
      <c r="C295" s="79"/>
      <c r="D295" s="79"/>
      <c r="E295" s="79"/>
      <c r="F295" s="79"/>
      <c r="G295" s="79"/>
      <c r="H295" s="79"/>
      <c r="J295" s="26"/>
      <c r="K295" s="24"/>
      <c r="L295" s="24"/>
    </row>
    <row r="296" spans="1:12" ht="15" customHeight="1">
      <c r="A296" s="78"/>
      <c r="B296" s="79"/>
      <c r="C296" s="79"/>
      <c r="D296" s="79"/>
      <c r="E296" s="79"/>
      <c r="F296" s="79"/>
      <c r="G296" s="79"/>
      <c r="H296" s="79"/>
      <c r="J296" s="26"/>
      <c r="K296" s="24"/>
      <c r="L296" s="24"/>
    </row>
    <row r="297" spans="1:12" ht="15" customHeight="1">
      <c r="A297" s="78"/>
      <c r="B297" s="79"/>
      <c r="C297" s="79"/>
      <c r="D297" s="79"/>
      <c r="E297" s="79"/>
      <c r="F297" s="79"/>
      <c r="G297" s="79"/>
      <c r="H297" s="79"/>
      <c r="J297" s="26"/>
      <c r="K297" s="24"/>
      <c r="L297" s="24"/>
    </row>
    <row r="298" spans="1:12" ht="15" customHeight="1">
      <c r="A298" s="78"/>
      <c r="B298" s="79"/>
      <c r="C298" s="79"/>
      <c r="D298" s="79"/>
      <c r="E298" s="79"/>
      <c r="F298" s="79"/>
      <c r="G298" s="79"/>
      <c r="H298" s="79"/>
      <c r="J298" s="26"/>
      <c r="K298" s="24"/>
      <c r="L298" s="24"/>
    </row>
    <row r="299" spans="1:12" ht="15" customHeight="1">
      <c r="A299" s="78"/>
      <c r="B299" s="79"/>
      <c r="C299" s="79"/>
      <c r="D299" s="79"/>
      <c r="E299" s="79"/>
      <c r="F299" s="79"/>
      <c r="G299" s="79"/>
      <c r="H299" s="79"/>
      <c r="J299" s="26"/>
      <c r="K299" s="24"/>
      <c r="L299" s="24"/>
    </row>
    <row r="300" spans="1:12" ht="15" customHeight="1">
      <c r="A300" s="78"/>
      <c r="B300" s="79"/>
      <c r="C300" s="79"/>
      <c r="D300" s="79"/>
      <c r="E300" s="79"/>
      <c r="F300" s="79"/>
      <c r="G300" s="79"/>
      <c r="H300" s="79"/>
      <c r="J300" s="26"/>
      <c r="K300" s="24"/>
      <c r="L300" s="24"/>
    </row>
    <row r="301" spans="1:12" ht="15" customHeight="1">
      <c r="A301" s="78"/>
      <c r="B301" s="79"/>
      <c r="C301" s="79"/>
      <c r="D301" s="79"/>
      <c r="E301" s="79"/>
      <c r="F301" s="79"/>
      <c r="G301" s="79"/>
      <c r="H301" s="79"/>
      <c r="J301" s="26"/>
      <c r="K301" s="24"/>
      <c r="L301" s="24"/>
    </row>
    <row r="302" spans="1:12" ht="15" customHeight="1">
      <c r="A302" s="78"/>
      <c r="B302" s="79"/>
      <c r="C302" s="79"/>
      <c r="D302" s="79"/>
      <c r="E302" s="79"/>
      <c r="F302" s="79"/>
      <c r="G302" s="79"/>
      <c r="H302" s="79"/>
      <c r="J302" s="26"/>
      <c r="K302" s="24"/>
      <c r="L302" s="24"/>
    </row>
    <row r="303" spans="1:12" ht="15" customHeight="1">
      <c r="A303" s="78"/>
      <c r="B303" s="79"/>
      <c r="C303" s="79"/>
      <c r="D303" s="79"/>
      <c r="E303" s="79"/>
      <c r="F303" s="79"/>
      <c r="G303" s="79"/>
      <c r="H303" s="79"/>
      <c r="J303" s="26"/>
      <c r="K303" s="24"/>
      <c r="L303" s="24"/>
    </row>
    <row r="304" spans="1:12" ht="15" customHeight="1">
      <c r="A304" s="78"/>
      <c r="B304" s="79"/>
      <c r="C304" s="79"/>
      <c r="D304" s="79"/>
      <c r="E304" s="79"/>
      <c r="F304" s="79"/>
      <c r="G304" s="79"/>
      <c r="H304" s="79"/>
      <c r="J304" s="26"/>
      <c r="K304" s="24"/>
      <c r="L304" s="24"/>
    </row>
    <row r="305" spans="1:12" ht="15" customHeight="1">
      <c r="A305" s="78"/>
      <c r="B305" s="79"/>
      <c r="C305" s="79"/>
      <c r="D305" s="79"/>
      <c r="E305" s="79"/>
      <c r="F305" s="79"/>
      <c r="G305" s="79"/>
      <c r="H305" s="79"/>
      <c r="J305" s="26"/>
      <c r="K305" s="24"/>
      <c r="L305" s="24"/>
    </row>
    <row r="306" spans="1:12" ht="15" customHeight="1">
      <c r="A306" s="78"/>
      <c r="B306" s="79"/>
      <c r="C306" s="79"/>
      <c r="D306" s="79"/>
      <c r="E306" s="79"/>
      <c r="F306" s="79"/>
      <c r="G306" s="79"/>
      <c r="H306" s="79"/>
      <c r="J306" s="26"/>
      <c r="K306" s="24"/>
      <c r="L306" s="24"/>
    </row>
    <row r="307" spans="1:12" ht="15" customHeight="1">
      <c r="A307" s="78"/>
      <c r="B307" s="79"/>
      <c r="C307" s="79"/>
      <c r="D307" s="79"/>
      <c r="E307" s="79"/>
      <c r="F307" s="79"/>
      <c r="G307" s="79"/>
      <c r="H307" s="79"/>
      <c r="J307" s="26"/>
      <c r="K307" s="24"/>
      <c r="L307" s="24"/>
    </row>
    <row r="308" spans="1:12" ht="15" customHeight="1">
      <c r="A308" s="78"/>
      <c r="B308" s="79"/>
      <c r="C308" s="79"/>
      <c r="D308" s="79"/>
      <c r="E308" s="79"/>
      <c r="F308" s="79"/>
      <c r="G308" s="79"/>
      <c r="H308" s="79"/>
      <c r="J308" s="26"/>
      <c r="K308" s="24"/>
      <c r="L308" s="24"/>
    </row>
    <row r="309" spans="1:12" ht="15" customHeight="1">
      <c r="A309" s="78"/>
      <c r="B309" s="79"/>
      <c r="C309" s="79"/>
      <c r="D309" s="79"/>
      <c r="E309" s="79"/>
      <c r="F309" s="79"/>
      <c r="G309" s="79"/>
      <c r="H309" s="79"/>
      <c r="J309" s="26"/>
      <c r="K309" s="24"/>
      <c r="L309" s="24"/>
    </row>
    <row r="310" spans="1:12" ht="15" customHeight="1">
      <c r="A310" s="78"/>
      <c r="B310" s="79"/>
      <c r="C310" s="79"/>
      <c r="D310" s="79"/>
      <c r="E310" s="79"/>
      <c r="F310" s="79"/>
      <c r="G310" s="79"/>
      <c r="H310" s="79"/>
      <c r="J310" s="26"/>
      <c r="K310" s="24"/>
      <c r="L310" s="24"/>
    </row>
    <row r="311" spans="1:12" ht="15" customHeight="1">
      <c r="A311" s="78"/>
      <c r="B311" s="79"/>
      <c r="C311" s="79"/>
      <c r="D311" s="79"/>
      <c r="E311" s="79"/>
      <c r="F311" s="79"/>
      <c r="G311" s="79"/>
      <c r="H311" s="79"/>
      <c r="J311" s="26"/>
      <c r="K311" s="24"/>
      <c r="L311" s="24"/>
    </row>
    <row r="312" spans="1:12" ht="15" customHeight="1">
      <c r="A312" s="78"/>
      <c r="B312" s="79"/>
      <c r="C312" s="79"/>
      <c r="D312" s="79"/>
      <c r="E312" s="79"/>
      <c r="F312" s="79"/>
      <c r="G312" s="79"/>
      <c r="H312" s="79"/>
      <c r="J312" s="26"/>
      <c r="K312" s="24"/>
      <c r="L312" s="24"/>
    </row>
    <row r="313" spans="1:12" ht="15" customHeight="1">
      <c r="A313" s="78"/>
      <c r="B313" s="79"/>
      <c r="C313" s="79"/>
      <c r="D313" s="79"/>
      <c r="E313" s="79"/>
      <c r="F313" s="79"/>
      <c r="G313" s="79"/>
      <c r="H313" s="79"/>
      <c r="J313" s="26"/>
      <c r="K313" s="24"/>
      <c r="L313" s="24"/>
    </row>
    <row r="314" spans="1:12" ht="15" customHeight="1">
      <c r="A314" s="78"/>
      <c r="B314" s="79"/>
      <c r="C314" s="79"/>
      <c r="D314" s="79"/>
      <c r="E314" s="79"/>
      <c r="F314" s="79"/>
      <c r="G314" s="79"/>
      <c r="H314" s="79"/>
      <c r="J314" s="26"/>
      <c r="K314" s="24"/>
      <c r="L314" s="24"/>
    </row>
    <row r="315" spans="1:12" ht="15" customHeight="1">
      <c r="A315" s="78"/>
      <c r="B315" s="79"/>
      <c r="C315" s="79"/>
      <c r="D315" s="79"/>
      <c r="E315" s="79"/>
      <c r="F315" s="79"/>
      <c r="G315" s="79"/>
      <c r="H315" s="79"/>
      <c r="J315" s="26"/>
      <c r="K315" s="24"/>
      <c r="L315" s="24"/>
    </row>
    <row r="316" spans="1:12" ht="15" customHeight="1">
      <c r="A316" s="78"/>
      <c r="B316" s="79"/>
      <c r="C316" s="79"/>
      <c r="D316" s="79"/>
      <c r="E316" s="79"/>
      <c r="F316" s="79"/>
      <c r="G316" s="79"/>
      <c r="H316" s="79"/>
      <c r="J316" s="26"/>
      <c r="K316" s="24"/>
      <c r="L316" s="24"/>
    </row>
    <row r="317" spans="1:12" ht="15" customHeight="1">
      <c r="A317" s="78"/>
      <c r="B317" s="79"/>
      <c r="C317" s="79"/>
      <c r="D317" s="79"/>
      <c r="E317" s="79"/>
      <c r="F317" s="79"/>
      <c r="G317" s="79"/>
      <c r="H317" s="79"/>
      <c r="J317" s="26"/>
      <c r="K317" s="24"/>
      <c r="L317" s="24"/>
    </row>
    <row r="318" spans="1:12" ht="15" customHeight="1">
      <c r="A318" s="78"/>
      <c r="B318" s="79"/>
      <c r="C318" s="79"/>
      <c r="D318" s="79"/>
      <c r="E318" s="79"/>
      <c r="F318" s="79"/>
      <c r="G318" s="79"/>
      <c r="H318" s="79"/>
      <c r="J318" s="26"/>
      <c r="K318" s="24"/>
      <c r="L318" s="24"/>
    </row>
    <row r="319" spans="1:12" ht="15" customHeight="1">
      <c r="A319" s="78"/>
      <c r="B319" s="79"/>
      <c r="C319" s="79"/>
      <c r="D319" s="79"/>
      <c r="E319" s="79"/>
      <c r="F319" s="79"/>
      <c r="G319" s="79"/>
      <c r="H319" s="79"/>
      <c r="J319" s="26"/>
      <c r="K319" s="24"/>
      <c r="L319" s="24"/>
    </row>
    <row r="320" spans="1:12" ht="15" customHeight="1">
      <c r="A320" s="78"/>
      <c r="B320" s="79"/>
      <c r="C320" s="79"/>
      <c r="D320" s="79"/>
      <c r="E320" s="79"/>
      <c r="F320" s="79"/>
      <c r="G320" s="79"/>
      <c r="H320" s="79"/>
      <c r="J320" s="26"/>
      <c r="K320" s="24"/>
      <c r="L320" s="24"/>
    </row>
    <row r="321" spans="1:12" ht="15" customHeight="1">
      <c r="A321" s="78"/>
      <c r="B321" s="79"/>
      <c r="C321" s="79"/>
      <c r="D321" s="79"/>
      <c r="E321" s="79"/>
      <c r="F321" s="79"/>
      <c r="G321" s="79"/>
      <c r="H321" s="79"/>
      <c r="J321" s="26"/>
      <c r="K321" s="24"/>
      <c r="L321" s="24"/>
    </row>
    <row r="322" spans="1:12" ht="15" customHeight="1">
      <c r="A322" s="78"/>
      <c r="B322" s="79"/>
      <c r="C322" s="79"/>
      <c r="D322" s="79"/>
      <c r="E322" s="79"/>
      <c r="F322" s="79"/>
      <c r="G322" s="79"/>
      <c r="H322" s="79"/>
      <c r="J322" s="26"/>
      <c r="K322" s="24"/>
      <c r="L322" s="24"/>
    </row>
    <row r="323" spans="1:12" ht="15" customHeight="1">
      <c r="A323" s="78"/>
      <c r="B323" s="79"/>
      <c r="C323" s="79"/>
      <c r="D323" s="79"/>
      <c r="E323" s="79"/>
      <c r="F323" s="79"/>
      <c r="G323" s="79"/>
      <c r="H323" s="79"/>
      <c r="J323" s="26"/>
      <c r="K323" s="24"/>
      <c r="L323" s="24"/>
    </row>
    <row r="324" spans="1:12" ht="15" customHeight="1">
      <c r="A324" s="78"/>
      <c r="B324" s="79"/>
      <c r="C324" s="79"/>
      <c r="D324" s="79"/>
      <c r="E324" s="79"/>
      <c r="F324" s="79"/>
      <c r="G324" s="79"/>
      <c r="H324" s="79"/>
      <c r="J324" s="26"/>
      <c r="K324" s="24"/>
      <c r="L324" s="24"/>
    </row>
    <row r="325" spans="1:12" ht="15" customHeight="1">
      <c r="A325" s="78"/>
      <c r="B325" s="79"/>
      <c r="C325" s="79"/>
      <c r="D325" s="79"/>
      <c r="E325" s="79"/>
      <c r="F325" s="79"/>
      <c r="G325" s="79"/>
      <c r="H325" s="79"/>
      <c r="J325" s="26"/>
      <c r="K325" s="24"/>
      <c r="L325" s="24"/>
    </row>
    <row r="326" spans="1:12" ht="15" customHeight="1">
      <c r="A326" s="78"/>
      <c r="B326" s="79"/>
      <c r="C326" s="79"/>
      <c r="D326" s="79"/>
      <c r="E326" s="79"/>
      <c r="F326" s="79"/>
      <c r="G326" s="79"/>
      <c r="H326" s="79"/>
      <c r="J326" s="26"/>
      <c r="K326" s="24"/>
      <c r="L326" s="24"/>
    </row>
    <row r="327" spans="1:12" ht="15" customHeight="1">
      <c r="A327" s="78"/>
      <c r="B327" s="79"/>
      <c r="C327" s="79"/>
      <c r="D327" s="79"/>
      <c r="E327" s="79"/>
      <c r="F327" s="79"/>
      <c r="G327" s="79"/>
      <c r="H327" s="79"/>
      <c r="J327" s="26"/>
      <c r="K327" s="24"/>
      <c r="L327" s="24"/>
    </row>
    <row r="328" spans="1:12" ht="15" customHeight="1">
      <c r="A328" s="78"/>
      <c r="B328" s="79"/>
      <c r="C328" s="79"/>
      <c r="D328" s="79"/>
      <c r="E328" s="79"/>
      <c r="F328" s="79"/>
      <c r="G328" s="79"/>
      <c r="H328" s="79"/>
      <c r="J328" s="26"/>
      <c r="K328" s="24"/>
      <c r="L328" s="24"/>
    </row>
    <row r="329" spans="1:12" ht="15" customHeight="1">
      <c r="A329" s="78"/>
      <c r="B329" s="79"/>
      <c r="C329" s="79"/>
      <c r="D329" s="79"/>
      <c r="E329" s="79"/>
      <c r="F329" s="79"/>
      <c r="G329" s="79"/>
      <c r="H329" s="79"/>
      <c r="J329" s="26"/>
      <c r="K329" s="24"/>
      <c r="L329" s="24"/>
    </row>
    <row r="330" spans="1:12" ht="15" customHeight="1">
      <c r="A330" s="78"/>
      <c r="B330" s="79"/>
      <c r="C330" s="79"/>
      <c r="D330" s="79"/>
      <c r="E330" s="79"/>
      <c r="F330" s="79"/>
      <c r="G330" s="79"/>
      <c r="H330" s="79"/>
      <c r="J330" s="26"/>
      <c r="K330" s="24"/>
      <c r="L330" s="24"/>
    </row>
    <row r="331" spans="1:12" ht="15" customHeight="1">
      <c r="A331" s="78"/>
      <c r="B331" s="79"/>
      <c r="C331" s="79"/>
      <c r="D331" s="79"/>
      <c r="E331" s="79"/>
      <c r="F331" s="79"/>
      <c r="G331" s="79"/>
      <c r="H331" s="79"/>
      <c r="J331" s="26"/>
      <c r="K331" s="24"/>
      <c r="L331" s="24"/>
    </row>
    <row r="332" spans="1:12" ht="15" customHeight="1">
      <c r="A332" s="78"/>
      <c r="B332" s="79"/>
      <c r="C332" s="79"/>
      <c r="D332" s="79"/>
      <c r="E332" s="79"/>
      <c r="F332" s="79"/>
      <c r="G332" s="79"/>
      <c r="H332" s="79"/>
      <c r="J332" s="26"/>
      <c r="K332" s="24"/>
      <c r="L332" s="24"/>
    </row>
    <row r="333" spans="1:12" ht="15" customHeight="1">
      <c r="A333" s="78"/>
      <c r="B333" s="79"/>
      <c r="C333" s="79"/>
      <c r="D333" s="79"/>
      <c r="E333" s="79"/>
      <c r="F333" s="79"/>
      <c r="G333" s="79"/>
      <c r="H333" s="79"/>
      <c r="J333" s="26"/>
      <c r="K333" s="24"/>
      <c r="L333" s="24"/>
    </row>
    <row r="334" spans="1:12" ht="15" customHeight="1">
      <c r="A334" s="78"/>
      <c r="B334" s="79"/>
      <c r="C334" s="79"/>
      <c r="D334" s="79"/>
      <c r="E334" s="79"/>
      <c r="F334" s="79"/>
      <c r="G334" s="79"/>
      <c r="H334" s="79"/>
      <c r="J334" s="26"/>
      <c r="K334" s="24"/>
      <c r="L334" s="24"/>
    </row>
    <row r="335" spans="1:12" ht="15" customHeight="1">
      <c r="A335" s="78"/>
      <c r="B335" s="79"/>
      <c r="C335" s="79"/>
      <c r="D335" s="79"/>
      <c r="E335" s="79"/>
      <c r="F335" s="79"/>
      <c r="G335" s="79"/>
      <c r="H335" s="79"/>
      <c r="J335" s="26"/>
      <c r="K335" s="24"/>
      <c r="L335" s="24"/>
    </row>
    <row r="336" spans="1:12" ht="15" customHeight="1">
      <c r="A336" s="78"/>
      <c r="B336" s="79"/>
      <c r="C336" s="79"/>
      <c r="D336" s="79"/>
      <c r="E336" s="79"/>
      <c r="F336" s="79"/>
      <c r="G336" s="79"/>
      <c r="H336" s="79"/>
      <c r="J336" s="26"/>
      <c r="K336" s="24"/>
      <c r="L336" s="24"/>
    </row>
    <row r="337" spans="1:12" ht="15" customHeight="1">
      <c r="A337" s="78"/>
      <c r="B337" s="79"/>
      <c r="C337" s="79"/>
      <c r="D337" s="79"/>
      <c r="E337" s="79"/>
      <c r="F337" s="79"/>
      <c r="G337" s="79"/>
      <c r="H337" s="79"/>
      <c r="J337" s="26"/>
      <c r="K337" s="24"/>
      <c r="L337" s="24"/>
    </row>
    <row r="338" spans="1:12" ht="15" customHeight="1">
      <c r="A338" s="78"/>
      <c r="B338" s="79"/>
      <c r="C338" s="79"/>
      <c r="D338" s="79"/>
      <c r="E338" s="79"/>
      <c r="F338" s="79"/>
      <c r="G338" s="79"/>
      <c r="H338" s="79"/>
      <c r="J338" s="26"/>
      <c r="K338" s="24"/>
      <c r="L338" s="24"/>
    </row>
    <row r="339" spans="1:12" ht="15" customHeight="1">
      <c r="A339" s="78"/>
      <c r="B339" s="79"/>
      <c r="C339" s="79"/>
      <c r="D339" s="79"/>
      <c r="E339" s="79"/>
      <c r="F339" s="79"/>
      <c r="G339" s="79"/>
      <c r="H339" s="79"/>
      <c r="J339" s="26"/>
      <c r="K339" s="24"/>
      <c r="L339" s="24"/>
    </row>
    <row r="340" spans="1:12" ht="15" customHeight="1">
      <c r="A340" s="78"/>
      <c r="B340" s="79"/>
      <c r="C340" s="79"/>
      <c r="D340" s="79"/>
      <c r="E340" s="79"/>
      <c r="F340" s="79"/>
      <c r="G340" s="79"/>
      <c r="H340" s="79"/>
      <c r="J340" s="26"/>
      <c r="K340" s="24"/>
      <c r="L340" s="24"/>
    </row>
    <row r="341" spans="1:12" ht="15" customHeight="1">
      <c r="A341" s="78"/>
      <c r="B341" s="79"/>
      <c r="C341" s="79"/>
      <c r="D341" s="79"/>
      <c r="E341" s="79"/>
      <c r="F341" s="79"/>
      <c r="G341" s="79"/>
      <c r="H341" s="79"/>
      <c r="J341" s="26"/>
      <c r="K341" s="24"/>
      <c r="L341" s="24"/>
    </row>
    <row r="342" spans="1:12" ht="15" customHeight="1">
      <c r="A342" s="78"/>
      <c r="B342" s="79"/>
      <c r="C342" s="79"/>
      <c r="D342" s="79"/>
      <c r="E342" s="79"/>
      <c r="F342" s="79"/>
      <c r="G342" s="79"/>
      <c r="H342" s="79"/>
      <c r="J342" s="26"/>
      <c r="K342" s="24"/>
      <c r="L342" s="24"/>
    </row>
    <row r="343" spans="1:12" ht="15" customHeight="1">
      <c r="A343" s="78"/>
      <c r="B343" s="79"/>
      <c r="C343" s="79"/>
      <c r="D343" s="79"/>
      <c r="E343" s="79"/>
      <c r="F343" s="79"/>
      <c r="G343" s="79"/>
      <c r="H343" s="79"/>
      <c r="J343" s="26"/>
      <c r="K343" s="24"/>
      <c r="L343" s="24"/>
    </row>
    <row r="344" spans="1:12" ht="15" customHeight="1">
      <c r="A344" s="78"/>
      <c r="B344" s="79"/>
      <c r="C344" s="79"/>
      <c r="D344" s="79"/>
      <c r="E344" s="79"/>
      <c r="F344" s="79"/>
      <c r="G344" s="79"/>
      <c r="H344" s="79"/>
      <c r="J344" s="26"/>
      <c r="K344" s="24"/>
      <c r="L344" s="24"/>
    </row>
    <row r="345" spans="1:12" ht="15" customHeight="1">
      <c r="A345" s="78"/>
      <c r="B345" s="79"/>
      <c r="C345" s="79"/>
      <c r="D345" s="79"/>
      <c r="E345" s="79"/>
      <c r="F345" s="79"/>
      <c r="G345" s="79"/>
      <c r="H345" s="79"/>
      <c r="J345" s="26"/>
      <c r="K345" s="24"/>
      <c r="L345" s="24"/>
    </row>
    <row r="346" spans="1:12" ht="15" customHeight="1">
      <c r="A346" s="78"/>
      <c r="B346" s="79"/>
      <c r="C346" s="79"/>
      <c r="D346" s="79"/>
      <c r="E346" s="79"/>
      <c r="F346" s="79"/>
      <c r="G346" s="79"/>
      <c r="H346" s="79"/>
      <c r="J346" s="26"/>
      <c r="K346" s="24"/>
      <c r="L346" s="24"/>
    </row>
    <row r="347" spans="1:12" ht="15" customHeight="1">
      <c r="A347" s="78"/>
      <c r="B347" s="79"/>
      <c r="C347" s="79"/>
      <c r="D347" s="79"/>
      <c r="E347" s="79"/>
      <c r="F347" s="79"/>
      <c r="G347" s="79"/>
      <c r="H347" s="79"/>
      <c r="J347" s="26"/>
      <c r="K347" s="24"/>
      <c r="L347" s="24"/>
    </row>
    <row r="348" spans="1:12" ht="15" customHeight="1">
      <c r="A348" s="78"/>
      <c r="B348" s="79"/>
      <c r="C348" s="79"/>
      <c r="D348" s="79"/>
      <c r="E348" s="79"/>
      <c r="F348" s="79"/>
      <c r="G348" s="79"/>
      <c r="H348" s="79"/>
      <c r="J348" s="26"/>
      <c r="K348" s="24"/>
      <c r="L348" s="24"/>
    </row>
    <row r="349" spans="1:12" ht="15" customHeight="1">
      <c r="A349" s="78"/>
      <c r="B349" s="79"/>
      <c r="C349" s="79"/>
      <c r="D349" s="79"/>
      <c r="E349" s="79"/>
      <c r="F349" s="79"/>
      <c r="G349" s="79"/>
      <c r="H349" s="79"/>
      <c r="J349" s="26"/>
      <c r="K349" s="24"/>
      <c r="L349" s="24"/>
    </row>
    <row r="350" spans="1:12" ht="15" customHeight="1">
      <c r="A350" s="78"/>
      <c r="B350" s="79"/>
      <c r="C350" s="79"/>
      <c r="D350" s="79"/>
      <c r="E350" s="79"/>
      <c r="F350" s="79"/>
      <c r="G350" s="79"/>
      <c r="H350" s="79"/>
      <c r="J350" s="26"/>
      <c r="K350" s="24"/>
      <c r="L350" s="24"/>
    </row>
    <row r="351" spans="1:12" ht="15" customHeight="1">
      <c r="A351" s="78"/>
      <c r="B351" s="79"/>
      <c r="C351" s="79"/>
      <c r="D351" s="79"/>
      <c r="E351" s="79"/>
      <c r="F351" s="79"/>
      <c r="G351" s="79"/>
      <c r="H351" s="79"/>
      <c r="J351" s="26"/>
      <c r="K351" s="24"/>
      <c r="L351" s="24"/>
    </row>
    <row r="352" spans="1:12" ht="15" customHeight="1">
      <c r="A352" s="78"/>
      <c r="B352" s="79"/>
      <c r="C352" s="79"/>
      <c r="D352" s="79"/>
      <c r="E352" s="79"/>
      <c r="F352" s="79"/>
      <c r="G352" s="79"/>
      <c r="H352" s="79"/>
      <c r="J352" s="26"/>
      <c r="K352" s="24"/>
      <c r="L352" s="24"/>
    </row>
    <row r="353" spans="1:12" ht="15" customHeight="1">
      <c r="A353" s="78"/>
      <c r="B353" s="79"/>
      <c r="C353" s="79"/>
      <c r="D353" s="79"/>
      <c r="E353" s="79"/>
      <c r="F353" s="79"/>
      <c r="G353" s="79"/>
      <c r="H353" s="79"/>
      <c r="J353" s="26"/>
      <c r="K353" s="24"/>
      <c r="L353" s="24"/>
    </row>
    <row r="354" spans="1:12" ht="15" customHeight="1">
      <c r="A354" s="78"/>
      <c r="B354" s="79"/>
      <c r="C354" s="79"/>
      <c r="D354" s="79"/>
      <c r="E354" s="79"/>
      <c r="F354" s="79"/>
      <c r="G354" s="79"/>
      <c r="H354" s="79"/>
      <c r="J354" s="26"/>
      <c r="K354" s="24"/>
      <c r="L354" s="24"/>
    </row>
    <row r="355" spans="1:12" ht="15" customHeight="1">
      <c r="A355" s="78"/>
      <c r="B355" s="79"/>
      <c r="C355" s="79"/>
      <c r="D355" s="79"/>
      <c r="E355" s="79"/>
      <c r="F355" s="79"/>
      <c r="G355" s="79"/>
      <c r="H355" s="79"/>
      <c r="J355" s="26"/>
      <c r="K355" s="24"/>
      <c r="L355" s="24"/>
    </row>
    <row r="356" spans="1:12" ht="15" customHeight="1">
      <c r="A356" s="78"/>
      <c r="B356" s="79"/>
      <c r="C356" s="79"/>
      <c r="D356" s="79"/>
      <c r="E356" s="79"/>
      <c r="F356" s="79"/>
      <c r="G356" s="79"/>
      <c r="H356" s="79"/>
      <c r="J356" s="26"/>
      <c r="K356" s="24"/>
      <c r="L356" s="24"/>
    </row>
    <row r="357" spans="1:12" ht="15" customHeight="1">
      <c r="A357" s="78"/>
      <c r="B357" s="79"/>
      <c r="C357" s="79"/>
      <c r="D357" s="79"/>
      <c r="E357" s="79"/>
      <c r="F357" s="79"/>
      <c r="G357" s="79"/>
      <c r="H357" s="79"/>
      <c r="J357" s="26"/>
      <c r="K357" s="24"/>
      <c r="L357" s="24"/>
    </row>
    <row r="358" spans="1:12" ht="15" customHeight="1">
      <c r="A358" s="78"/>
      <c r="B358" s="79"/>
      <c r="C358" s="79"/>
      <c r="D358" s="79"/>
      <c r="E358" s="79"/>
      <c r="F358" s="79"/>
      <c r="G358" s="79"/>
      <c r="H358" s="79"/>
      <c r="J358" s="26"/>
      <c r="K358" s="24"/>
      <c r="L358" s="24"/>
    </row>
    <row r="359" spans="1:12" ht="15" customHeight="1">
      <c r="A359" s="78"/>
      <c r="B359" s="79"/>
      <c r="C359" s="79"/>
      <c r="D359" s="79"/>
      <c r="E359" s="79"/>
      <c r="F359" s="79"/>
      <c r="G359" s="79"/>
      <c r="H359" s="79"/>
      <c r="J359" s="26"/>
      <c r="K359" s="24"/>
      <c r="L359" s="24"/>
    </row>
    <row r="360" spans="1:12" ht="15" customHeight="1">
      <c r="A360" s="78"/>
      <c r="B360" s="79"/>
      <c r="C360" s="79"/>
      <c r="D360" s="79"/>
      <c r="E360" s="79"/>
      <c r="F360" s="79"/>
      <c r="G360" s="79"/>
      <c r="H360" s="79"/>
      <c r="J360" s="26"/>
      <c r="K360" s="24"/>
      <c r="L360" s="24"/>
    </row>
    <row r="361" spans="1:12" ht="15" customHeight="1">
      <c r="A361" s="78"/>
      <c r="B361" s="79"/>
      <c r="C361" s="79"/>
      <c r="D361" s="79"/>
      <c r="E361" s="79"/>
      <c r="F361" s="79"/>
      <c r="G361" s="79"/>
      <c r="H361" s="79"/>
      <c r="J361" s="26"/>
      <c r="K361" s="24"/>
      <c r="L361" s="24"/>
    </row>
    <row r="362" spans="1:12" ht="15" customHeight="1">
      <c r="A362" s="78"/>
      <c r="B362" s="79"/>
      <c r="C362" s="79"/>
      <c r="D362" s="79"/>
      <c r="E362" s="79"/>
      <c r="F362" s="79"/>
      <c r="G362" s="79"/>
      <c r="H362" s="79"/>
      <c r="J362" s="26"/>
      <c r="K362" s="24"/>
      <c r="L362" s="24"/>
    </row>
    <row r="363" spans="1:12" ht="15" customHeight="1">
      <c r="A363" s="78"/>
      <c r="B363" s="79"/>
      <c r="C363" s="79"/>
      <c r="D363" s="79"/>
      <c r="E363" s="79"/>
      <c r="F363" s="79"/>
      <c r="G363" s="79"/>
      <c r="H363" s="79"/>
      <c r="J363" s="26"/>
      <c r="K363" s="24"/>
      <c r="L363" s="24"/>
    </row>
    <row r="364" spans="1:12" ht="15" customHeight="1">
      <c r="A364" s="78"/>
      <c r="B364" s="79"/>
      <c r="C364" s="79"/>
      <c r="D364" s="79"/>
      <c r="E364" s="79"/>
      <c r="F364" s="79"/>
      <c r="G364" s="79"/>
      <c r="H364" s="79"/>
      <c r="J364" s="26"/>
      <c r="K364" s="24"/>
      <c r="L364" s="24"/>
    </row>
    <row r="365" spans="1:12" ht="15" customHeight="1">
      <c r="A365" s="78"/>
      <c r="B365" s="79"/>
      <c r="C365" s="79"/>
      <c r="D365" s="79"/>
      <c r="E365" s="79"/>
      <c r="F365" s="79"/>
      <c r="G365" s="79"/>
      <c r="H365" s="79"/>
      <c r="J365" s="26"/>
      <c r="K365" s="24"/>
      <c r="L365" s="24"/>
    </row>
    <row r="366" spans="1:12" ht="15" customHeight="1">
      <c r="A366" s="78"/>
      <c r="B366" s="79"/>
      <c r="C366" s="79"/>
      <c r="D366" s="79"/>
      <c r="E366" s="79"/>
      <c r="F366" s="79"/>
      <c r="G366" s="79"/>
      <c r="H366" s="79"/>
      <c r="J366" s="26"/>
      <c r="K366" s="24"/>
      <c r="L366" s="24"/>
    </row>
    <row r="367" spans="1:12" ht="15" customHeight="1">
      <c r="A367" s="78"/>
      <c r="B367" s="79"/>
      <c r="C367" s="79"/>
      <c r="D367" s="79"/>
      <c r="E367" s="79"/>
      <c r="F367" s="79"/>
      <c r="G367" s="79"/>
      <c r="H367" s="79"/>
      <c r="J367" s="26"/>
      <c r="K367" s="24"/>
      <c r="L367" s="24"/>
    </row>
    <row r="368" spans="1:12" ht="15" customHeight="1">
      <c r="A368" s="78"/>
      <c r="B368" s="79"/>
      <c r="C368" s="79"/>
      <c r="D368" s="79"/>
      <c r="E368" s="79"/>
      <c r="F368" s="79"/>
      <c r="G368" s="79"/>
      <c r="H368" s="79"/>
      <c r="J368" s="26"/>
      <c r="K368" s="24"/>
      <c r="L368" s="24"/>
    </row>
    <row r="369" spans="1:12" ht="15" customHeight="1">
      <c r="A369" s="78"/>
      <c r="B369" s="79"/>
      <c r="C369" s="79"/>
      <c r="D369" s="79"/>
      <c r="E369" s="79"/>
      <c r="F369" s="79"/>
      <c r="G369" s="79"/>
      <c r="H369" s="79"/>
      <c r="J369" s="26"/>
      <c r="K369" s="24"/>
      <c r="L369" s="24"/>
    </row>
    <row r="370" spans="1:12" ht="15" customHeight="1">
      <c r="A370" s="78"/>
      <c r="B370" s="79"/>
      <c r="C370" s="79"/>
      <c r="D370" s="79"/>
      <c r="E370" s="79"/>
      <c r="F370" s="79"/>
      <c r="G370" s="79"/>
      <c r="H370" s="79"/>
      <c r="J370" s="26"/>
      <c r="K370" s="24"/>
      <c r="L370" s="24"/>
    </row>
    <row r="371" spans="1:12" ht="15" customHeight="1">
      <c r="A371" s="78"/>
      <c r="B371" s="79"/>
      <c r="C371" s="79"/>
      <c r="D371" s="79"/>
      <c r="E371" s="79"/>
      <c r="F371" s="79"/>
      <c r="G371" s="79"/>
      <c r="H371" s="79"/>
      <c r="J371" s="26"/>
      <c r="K371" s="24"/>
      <c r="L371" s="24"/>
    </row>
    <row r="372" spans="1:12" ht="15" customHeight="1">
      <c r="A372" s="78"/>
      <c r="B372" s="79"/>
      <c r="C372" s="79"/>
      <c r="D372" s="79"/>
      <c r="E372" s="79"/>
      <c r="F372" s="79"/>
      <c r="G372" s="79"/>
      <c r="H372" s="79"/>
      <c r="J372" s="26"/>
      <c r="K372" s="24"/>
      <c r="L372" s="24"/>
    </row>
    <row r="373" spans="1:12" ht="15" customHeight="1">
      <c r="A373" s="78"/>
      <c r="B373" s="79"/>
      <c r="C373" s="79"/>
      <c r="D373" s="79"/>
      <c r="E373" s="79"/>
      <c r="F373" s="79"/>
      <c r="G373" s="79"/>
      <c r="H373" s="79"/>
      <c r="J373" s="26"/>
      <c r="K373" s="24"/>
      <c r="L373" s="24"/>
    </row>
    <row r="374" spans="1:12" ht="15" customHeight="1">
      <c r="A374" s="78"/>
      <c r="B374" s="79"/>
      <c r="C374" s="79"/>
      <c r="D374" s="79"/>
      <c r="E374" s="79"/>
      <c r="F374" s="79"/>
      <c r="G374" s="79"/>
      <c r="H374" s="79"/>
      <c r="J374" s="26"/>
      <c r="K374" s="24"/>
      <c r="L374" s="24"/>
    </row>
    <row r="375" spans="1:12" ht="15" customHeight="1">
      <c r="A375" s="78"/>
      <c r="B375" s="79"/>
      <c r="C375" s="79"/>
      <c r="D375" s="79"/>
      <c r="E375" s="79"/>
      <c r="F375" s="79"/>
      <c r="G375" s="79"/>
      <c r="H375" s="79"/>
      <c r="J375" s="26"/>
      <c r="K375" s="24"/>
      <c r="L375" s="24"/>
    </row>
    <row r="376" spans="1:12" ht="15" customHeight="1">
      <c r="A376" s="78"/>
      <c r="B376" s="79"/>
      <c r="C376" s="79"/>
      <c r="D376" s="79"/>
      <c r="E376" s="79"/>
      <c r="F376" s="79"/>
      <c r="G376" s="79"/>
      <c r="H376" s="79"/>
      <c r="J376" s="26"/>
      <c r="K376" s="24"/>
      <c r="L376" s="24"/>
    </row>
    <row r="377" spans="1:12" ht="15" customHeight="1">
      <c r="A377" s="78"/>
      <c r="B377" s="79"/>
      <c r="C377" s="79"/>
      <c r="D377" s="79"/>
      <c r="E377" s="79"/>
      <c r="F377" s="79"/>
      <c r="G377" s="79"/>
      <c r="H377" s="79"/>
      <c r="J377" s="26"/>
      <c r="K377" s="24"/>
      <c r="L377" s="24"/>
    </row>
    <row r="378" spans="1:12" ht="15" customHeight="1">
      <c r="A378" s="78"/>
      <c r="B378" s="79"/>
      <c r="C378" s="79"/>
      <c r="D378" s="79"/>
      <c r="E378" s="79"/>
      <c r="F378" s="79"/>
      <c r="G378" s="79"/>
      <c r="H378" s="79"/>
      <c r="J378" s="26"/>
      <c r="K378" s="24"/>
      <c r="L378" s="24"/>
    </row>
    <row r="379" spans="1:12" ht="15" customHeight="1">
      <c r="A379" s="78"/>
      <c r="B379" s="79"/>
      <c r="C379" s="79"/>
      <c r="D379" s="79"/>
      <c r="E379" s="79"/>
      <c r="F379" s="79"/>
      <c r="G379" s="79"/>
      <c r="H379" s="79"/>
      <c r="J379" s="26"/>
      <c r="K379" s="24"/>
      <c r="L379" s="24"/>
    </row>
    <row r="380" spans="1:12" ht="15" customHeight="1">
      <c r="A380" s="78"/>
      <c r="B380" s="79"/>
      <c r="C380" s="79"/>
      <c r="D380" s="79"/>
      <c r="E380" s="79"/>
      <c r="F380" s="79"/>
      <c r="G380" s="79"/>
      <c r="H380" s="79"/>
      <c r="J380" s="26"/>
      <c r="K380" s="24"/>
      <c r="L380" s="24"/>
    </row>
    <row r="381" spans="1:12" ht="15" customHeight="1">
      <c r="A381" s="78"/>
      <c r="B381" s="79"/>
      <c r="C381" s="79"/>
      <c r="D381" s="79"/>
      <c r="E381" s="79"/>
      <c r="F381" s="79"/>
      <c r="G381" s="79"/>
      <c r="H381" s="79"/>
      <c r="J381" s="26"/>
      <c r="K381" s="24"/>
      <c r="L381" s="24"/>
    </row>
    <row r="382" spans="1:12" ht="15" customHeight="1">
      <c r="A382" s="78"/>
      <c r="B382" s="79"/>
      <c r="C382" s="79"/>
      <c r="D382" s="79"/>
      <c r="E382" s="79"/>
      <c r="F382" s="79"/>
      <c r="G382" s="79"/>
      <c r="H382" s="79"/>
      <c r="J382" s="26"/>
      <c r="K382" s="24"/>
      <c r="L382" s="24"/>
    </row>
    <row r="383" spans="1:12" ht="15" customHeight="1">
      <c r="A383" s="78"/>
      <c r="B383" s="79"/>
      <c r="C383" s="79"/>
      <c r="D383" s="79"/>
      <c r="E383" s="79"/>
      <c r="F383" s="79"/>
      <c r="G383" s="79"/>
      <c r="H383" s="79"/>
      <c r="J383" s="26"/>
      <c r="K383" s="24"/>
      <c r="L383" s="24"/>
    </row>
    <row r="384" spans="1:12" ht="13.2" customHeight="1">
      <c r="A384" s="78"/>
      <c r="B384" s="79"/>
      <c r="C384" s="79"/>
      <c r="D384" s="79"/>
      <c r="E384" s="79"/>
      <c r="F384" s="79"/>
      <c r="G384" s="79"/>
      <c r="H384" s="79"/>
      <c r="J384" s="26"/>
      <c r="K384" s="24"/>
      <c r="L384" s="24"/>
    </row>
    <row r="385" spans="1:12" ht="15" customHeight="1">
      <c r="A385" s="78"/>
      <c r="B385" s="79"/>
      <c r="C385" s="79"/>
      <c r="D385" s="79"/>
      <c r="E385" s="79"/>
      <c r="F385" s="79"/>
      <c r="G385" s="79"/>
      <c r="H385" s="79"/>
      <c r="J385" s="26"/>
      <c r="K385" s="24"/>
      <c r="L385" s="24"/>
    </row>
    <row r="386" spans="1:12" ht="15" customHeight="1">
      <c r="A386" s="78"/>
      <c r="B386" s="79"/>
      <c r="C386" s="79"/>
      <c r="D386" s="79"/>
      <c r="E386" s="79"/>
      <c r="F386" s="79"/>
      <c r="G386" s="79"/>
      <c r="H386" s="79"/>
      <c r="J386" s="26"/>
      <c r="K386" s="24"/>
      <c r="L386" s="24"/>
    </row>
    <row r="387" spans="1:12" ht="15" customHeight="1">
      <c r="A387" s="78"/>
      <c r="B387" s="79"/>
      <c r="C387" s="79"/>
      <c r="D387" s="79"/>
      <c r="E387" s="79"/>
      <c r="F387" s="79"/>
      <c r="G387" s="79"/>
      <c r="H387" s="79"/>
      <c r="J387" s="26"/>
      <c r="K387" s="24"/>
      <c r="L387" s="24"/>
    </row>
    <row r="388" spans="1:12" ht="15" customHeight="1">
      <c r="A388" s="78"/>
      <c r="B388" s="79"/>
      <c r="C388" s="79"/>
      <c r="D388" s="79"/>
      <c r="E388" s="79"/>
      <c r="F388" s="79"/>
      <c r="G388" s="79"/>
      <c r="H388" s="79"/>
      <c r="J388" s="26"/>
      <c r="K388" s="24"/>
      <c r="L388" s="24"/>
    </row>
    <row r="389" spans="1:12" ht="15" customHeight="1">
      <c r="A389" s="78"/>
      <c r="B389" s="79"/>
      <c r="C389" s="79"/>
      <c r="D389" s="79"/>
      <c r="E389" s="79"/>
      <c r="F389" s="79"/>
      <c r="G389" s="79"/>
      <c r="H389" s="79"/>
      <c r="J389" s="26"/>
      <c r="K389" s="24"/>
      <c r="L389" s="24"/>
    </row>
    <row r="390" spans="1:12" ht="15" customHeight="1">
      <c r="A390" s="78"/>
      <c r="B390" s="79"/>
      <c r="C390" s="79"/>
      <c r="D390" s="79"/>
      <c r="E390" s="79"/>
      <c r="F390" s="79"/>
      <c r="G390" s="79"/>
      <c r="H390" s="79"/>
      <c r="J390" s="26"/>
      <c r="K390" s="24"/>
      <c r="L390" s="24"/>
    </row>
    <row r="391" spans="1:12" ht="15" customHeight="1">
      <c r="A391" s="78"/>
      <c r="B391" s="79"/>
      <c r="C391" s="79"/>
      <c r="D391" s="79"/>
      <c r="E391" s="79"/>
      <c r="F391" s="79"/>
      <c r="G391" s="79"/>
      <c r="H391" s="79"/>
      <c r="J391" s="26"/>
      <c r="K391" s="24"/>
      <c r="L391" s="24"/>
    </row>
    <row r="392" spans="1:12" ht="15" customHeight="1">
      <c r="A392" s="78"/>
      <c r="B392" s="79"/>
      <c r="C392" s="79"/>
      <c r="D392" s="79"/>
      <c r="E392" s="79"/>
      <c r="F392" s="79"/>
      <c r="G392" s="79"/>
      <c r="H392" s="79"/>
      <c r="J392" s="26"/>
      <c r="K392" s="24"/>
      <c r="L392" s="24"/>
    </row>
    <row r="393" spans="1:12" ht="15" customHeight="1">
      <c r="A393" s="78"/>
      <c r="B393" s="79"/>
      <c r="C393" s="79"/>
      <c r="D393" s="79"/>
      <c r="E393" s="79"/>
      <c r="F393" s="79"/>
      <c r="G393" s="79"/>
      <c r="H393" s="79"/>
      <c r="J393" s="26"/>
      <c r="K393" s="24"/>
      <c r="L393" s="24"/>
    </row>
    <row r="394" spans="1:12" ht="15" customHeight="1">
      <c r="A394" s="78"/>
      <c r="B394" s="79"/>
      <c r="C394" s="79"/>
      <c r="D394" s="79"/>
      <c r="E394" s="79"/>
      <c r="F394" s="79"/>
      <c r="G394" s="79"/>
      <c r="H394" s="79"/>
      <c r="J394" s="26"/>
      <c r="K394" s="24"/>
      <c r="L394" s="24"/>
    </row>
    <row r="395" spans="1:12" ht="15" customHeight="1">
      <c r="A395" s="78"/>
      <c r="B395" s="79"/>
      <c r="C395" s="79"/>
      <c r="D395" s="79"/>
      <c r="E395" s="79"/>
      <c r="F395" s="79"/>
      <c r="G395" s="79"/>
      <c r="H395" s="79"/>
      <c r="J395" s="26"/>
      <c r="K395" s="24"/>
      <c r="L395" s="24"/>
    </row>
    <row r="396" spans="1:12" ht="15" customHeight="1">
      <c r="A396" s="78"/>
      <c r="B396" s="79"/>
      <c r="C396" s="79"/>
      <c r="D396" s="79"/>
      <c r="E396" s="79"/>
      <c r="F396" s="79"/>
      <c r="G396" s="79"/>
      <c r="H396" s="79"/>
      <c r="J396" s="26"/>
      <c r="K396" s="24"/>
      <c r="L396" s="24"/>
    </row>
    <row r="397" spans="1:12" ht="15" customHeight="1">
      <c r="A397" s="78"/>
      <c r="B397" s="79"/>
      <c r="C397" s="79"/>
      <c r="D397" s="79"/>
      <c r="E397" s="79"/>
      <c r="F397" s="79"/>
      <c r="G397" s="79"/>
      <c r="H397" s="79"/>
      <c r="J397" s="26"/>
      <c r="K397" s="24"/>
      <c r="L397" s="24"/>
    </row>
    <row r="398" spans="1:12" ht="15" customHeight="1">
      <c r="A398" s="78"/>
      <c r="B398" s="79"/>
      <c r="C398" s="79"/>
      <c r="D398" s="79"/>
      <c r="E398" s="79"/>
      <c r="F398" s="79"/>
      <c r="G398" s="79"/>
      <c r="H398" s="79"/>
      <c r="J398" s="26"/>
      <c r="K398" s="24"/>
      <c r="L398" s="24"/>
    </row>
    <row r="399" spans="1:12" ht="15" customHeight="1">
      <c r="A399" s="78"/>
      <c r="B399" s="79"/>
      <c r="C399" s="79"/>
      <c r="D399" s="79"/>
      <c r="E399" s="79"/>
      <c r="F399" s="79"/>
      <c r="G399" s="79"/>
      <c r="H399" s="79"/>
      <c r="J399" s="26"/>
      <c r="K399" s="24"/>
      <c r="L399" s="24"/>
    </row>
    <row r="400" spans="1:12" ht="15" customHeight="1">
      <c r="A400" s="78"/>
      <c r="B400" s="79"/>
      <c r="C400" s="79"/>
      <c r="D400" s="79"/>
      <c r="E400" s="79"/>
      <c r="F400" s="79"/>
      <c r="G400" s="79"/>
      <c r="H400" s="79"/>
      <c r="J400" s="26"/>
      <c r="K400" s="24"/>
      <c r="L400" s="24"/>
    </row>
    <row r="401" spans="1:12" ht="15" customHeight="1">
      <c r="A401" s="78"/>
      <c r="B401" s="79"/>
      <c r="C401" s="79"/>
      <c r="D401" s="79"/>
      <c r="E401" s="79"/>
      <c r="F401" s="79"/>
      <c r="G401" s="79"/>
      <c r="H401" s="79"/>
      <c r="J401" s="26"/>
      <c r="K401" s="24"/>
      <c r="L401" s="24"/>
    </row>
    <row r="402" spans="1:12" ht="15" customHeight="1">
      <c r="A402" s="78"/>
      <c r="B402" s="79"/>
      <c r="C402" s="79"/>
      <c r="D402" s="79"/>
      <c r="E402" s="79"/>
      <c r="F402" s="79"/>
      <c r="G402" s="79"/>
      <c r="H402" s="79"/>
      <c r="J402" s="26"/>
      <c r="K402" s="24"/>
      <c r="L402" s="24"/>
    </row>
    <row r="403" spans="1:12" ht="15" customHeight="1">
      <c r="A403" s="78"/>
      <c r="B403" s="79"/>
      <c r="C403" s="79"/>
      <c r="D403" s="79"/>
      <c r="E403" s="79"/>
      <c r="F403" s="79"/>
      <c r="G403" s="79"/>
      <c r="H403" s="79"/>
      <c r="J403" s="26"/>
      <c r="K403" s="24"/>
      <c r="L403" s="24"/>
    </row>
    <row r="404" spans="1:12" ht="15" customHeight="1">
      <c r="A404" s="78"/>
      <c r="B404" s="79"/>
      <c r="C404" s="79"/>
      <c r="D404" s="79"/>
      <c r="E404" s="79"/>
      <c r="F404" s="79"/>
      <c r="G404" s="79"/>
      <c r="H404" s="79"/>
      <c r="J404" s="26"/>
      <c r="K404" s="24"/>
      <c r="L404" s="24"/>
    </row>
    <row r="405" spans="1:12" ht="15" customHeight="1">
      <c r="A405" s="78"/>
      <c r="B405" s="79"/>
      <c r="C405" s="79"/>
      <c r="D405" s="79"/>
      <c r="E405" s="79"/>
      <c r="F405" s="79"/>
      <c r="G405" s="79"/>
      <c r="H405" s="79"/>
      <c r="J405" s="26"/>
      <c r="K405" s="24"/>
      <c r="L405" s="24"/>
    </row>
    <row r="406" spans="1:12" ht="15" customHeight="1">
      <c r="A406" s="78"/>
      <c r="B406" s="79"/>
      <c r="C406" s="79"/>
      <c r="D406" s="79"/>
      <c r="E406" s="79"/>
      <c r="F406" s="79"/>
      <c r="G406" s="79"/>
      <c r="H406" s="79"/>
      <c r="J406" s="26"/>
      <c r="K406" s="24"/>
      <c r="L406" s="24"/>
    </row>
    <row r="407" spans="1:12" ht="15" customHeight="1">
      <c r="A407" s="78"/>
      <c r="B407" s="79"/>
      <c r="C407" s="79"/>
      <c r="D407" s="79"/>
      <c r="E407" s="79"/>
      <c r="F407" s="79"/>
      <c r="G407" s="79"/>
      <c r="H407" s="79"/>
      <c r="J407" s="26"/>
      <c r="K407" s="24"/>
      <c r="L407" s="24"/>
    </row>
    <row r="408" spans="1:12" ht="15" customHeight="1">
      <c r="A408" s="78"/>
      <c r="B408" s="79"/>
      <c r="C408" s="79"/>
      <c r="D408" s="79"/>
      <c r="E408" s="79"/>
      <c r="F408" s="79"/>
      <c r="G408" s="79"/>
      <c r="H408" s="79"/>
      <c r="J408" s="26"/>
      <c r="K408" s="24"/>
      <c r="L408" s="24"/>
    </row>
    <row r="409" spans="1:12" ht="15" customHeight="1">
      <c r="A409" s="78"/>
      <c r="B409" s="79"/>
      <c r="C409" s="79"/>
      <c r="D409" s="79"/>
      <c r="E409" s="79"/>
      <c r="F409" s="79"/>
      <c r="G409" s="79"/>
      <c r="H409" s="79"/>
      <c r="J409" s="26"/>
      <c r="K409" s="24"/>
      <c r="L409" s="24"/>
    </row>
    <row r="410" spans="1:12" ht="15" customHeight="1">
      <c r="A410" s="78"/>
      <c r="B410" s="79"/>
      <c r="C410" s="79"/>
      <c r="D410" s="79"/>
      <c r="E410" s="79"/>
      <c r="F410" s="79"/>
      <c r="G410" s="79"/>
      <c r="H410" s="79"/>
      <c r="J410" s="26"/>
      <c r="K410" s="24"/>
      <c r="L410" s="24"/>
    </row>
    <row r="411" spans="1:12" ht="15" customHeight="1">
      <c r="A411" s="78"/>
      <c r="B411" s="79"/>
      <c r="C411" s="79"/>
      <c r="D411" s="79"/>
      <c r="E411" s="79"/>
      <c r="F411" s="79"/>
      <c r="G411" s="79"/>
      <c r="H411" s="79"/>
      <c r="J411" s="26"/>
      <c r="K411" s="24"/>
      <c r="L411" s="24"/>
    </row>
    <row r="412" spans="1:12" ht="15" customHeight="1">
      <c r="A412" s="78"/>
      <c r="B412" s="79"/>
      <c r="C412" s="79"/>
      <c r="D412" s="79"/>
      <c r="E412" s="79"/>
      <c r="F412" s="79"/>
      <c r="G412" s="79"/>
      <c r="H412" s="79"/>
      <c r="J412" s="26"/>
      <c r="K412" s="24"/>
      <c r="L412" s="24"/>
    </row>
    <row r="413" spans="1:12" ht="15" customHeight="1">
      <c r="A413" s="78"/>
      <c r="B413" s="79"/>
      <c r="C413" s="79"/>
      <c r="D413" s="79"/>
      <c r="E413" s="79"/>
      <c r="F413" s="79"/>
      <c r="G413" s="79"/>
      <c r="H413" s="79"/>
      <c r="J413" s="26"/>
      <c r="K413" s="24"/>
      <c r="L413" s="24"/>
    </row>
    <row r="414" spans="1:12" ht="15" customHeight="1">
      <c r="A414" s="78"/>
      <c r="B414" s="79"/>
      <c r="C414" s="79"/>
      <c r="D414" s="79"/>
      <c r="E414" s="79"/>
      <c r="F414" s="79"/>
      <c r="G414" s="79"/>
      <c r="H414" s="79"/>
      <c r="J414" s="26"/>
      <c r="K414" s="24"/>
      <c r="L414" s="24"/>
    </row>
    <row r="415" spans="1:12" ht="15" customHeight="1">
      <c r="A415" s="78"/>
      <c r="B415" s="79"/>
      <c r="C415" s="79"/>
      <c r="D415" s="79"/>
      <c r="E415" s="79"/>
      <c r="F415" s="79"/>
      <c r="G415" s="79"/>
      <c r="H415" s="79"/>
      <c r="J415" s="26"/>
      <c r="K415" s="24"/>
      <c r="L415" s="24"/>
    </row>
    <row r="416" spans="1:12" ht="15" customHeight="1">
      <c r="A416" s="78"/>
      <c r="B416" s="79"/>
      <c r="C416" s="79"/>
      <c r="D416" s="79"/>
      <c r="E416" s="79"/>
      <c r="F416" s="79"/>
      <c r="G416" s="79"/>
      <c r="H416" s="79"/>
      <c r="J416" s="26"/>
      <c r="K416" s="24"/>
      <c r="L416" s="24"/>
    </row>
    <row r="417" spans="1:12" ht="15" customHeight="1">
      <c r="A417" s="78"/>
      <c r="B417" s="79"/>
      <c r="C417" s="79"/>
      <c r="D417" s="79"/>
      <c r="E417" s="79"/>
      <c r="F417" s="79"/>
      <c r="G417" s="79"/>
      <c r="H417" s="79"/>
      <c r="J417" s="26"/>
      <c r="K417" s="24"/>
      <c r="L417" s="24"/>
    </row>
    <row r="418" spans="1:12" ht="15" customHeight="1">
      <c r="A418" s="78"/>
      <c r="B418" s="79"/>
      <c r="C418" s="79"/>
      <c r="D418" s="79"/>
      <c r="E418" s="79"/>
      <c r="F418" s="79"/>
      <c r="G418" s="79"/>
      <c r="H418" s="79"/>
      <c r="J418" s="26"/>
      <c r="K418" s="24"/>
      <c r="L418" s="24"/>
    </row>
    <row r="419" spans="1:12" ht="15" customHeight="1">
      <c r="A419" s="78"/>
      <c r="B419" s="79"/>
      <c r="C419" s="79"/>
      <c r="D419" s="79"/>
      <c r="E419" s="79"/>
      <c r="F419" s="79"/>
      <c r="G419" s="79"/>
      <c r="H419" s="79"/>
      <c r="J419" s="26"/>
      <c r="K419" s="24"/>
      <c r="L419" s="24"/>
    </row>
    <row r="420" spans="1:12" ht="15" customHeight="1">
      <c r="A420" s="78"/>
      <c r="B420" s="79"/>
      <c r="C420" s="79"/>
      <c r="D420" s="79"/>
      <c r="E420" s="79"/>
      <c r="F420" s="79"/>
      <c r="G420" s="79"/>
      <c r="H420" s="79"/>
      <c r="J420" s="26"/>
      <c r="K420" s="24"/>
      <c r="L420" s="24"/>
    </row>
    <row r="421" spans="1:12" ht="15" customHeight="1">
      <c r="A421" s="78"/>
      <c r="B421" s="79"/>
      <c r="C421" s="79"/>
      <c r="D421" s="79"/>
      <c r="E421" s="79"/>
      <c r="F421" s="79"/>
      <c r="G421" s="79"/>
      <c r="H421" s="79"/>
      <c r="J421" s="26"/>
      <c r="K421" s="24"/>
      <c r="L421" s="24"/>
    </row>
    <row r="422" spans="1:12" ht="15" customHeight="1">
      <c r="A422" s="78"/>
      <c r="B422" s="79"/>
      <c r="C422" s="79"/>
      <c r="D422" s="79"/>
      <c r="E422" s="79"/>
      <c r="F422" s="79"/>
      <c r="G422" s="79"/>
      <c r="H422" s="79"/>
      <c r="J422" s="26"/>
      <c r="K422" s="24"/>
      <c r="L422" s="24"/>
    </row>
    <row r="423" spans="1:12" ht="15" customHeight="1">
      <c r="A423" s="78"/>
      <c r="B423" s="79"/>
      <c r="C423" s="79"/>
      <c r="D423" s="79"/>
      <c r="E423" s="79"/>
      <c r="F423" s="79"/>
      <c r="G423" s="79"/>
      <c r="H423" s="79"/>
      <c r="J423" s="26"/>
      <c r="K423" s="24"/>
      <c r="L423" s="24"/>
    </row>
    <row r="424" spans="1:12" ht="15" customHeight="1">
      <c r="A424" s="78"/>
      <c r="B424" s="79"/>
      <c r="C424" s="79"/>
      <c r="D424" s="79"/>
      <c r="E424" s="79"/>
      <c r="F424" s="79"/>
      <c r="G424" s="79"/>
      <c r="H424" s="79"/>
      <c r="J424" s="26"/>
      <c r="K424" s="24"/>
      <c r="L424" s="24"/>
    </row>
    <row r="425" spans="1:12" ht="15" customHeight="1">
      <c r="A425" s="78"/>
      <c r="B425" s="79"/>
      <c r="C425" s="79"/>
      <c r="D425" s="79"/>
      <c r="E425" s="79"/>
      <c r="F425" s="79"/>
      <c r="G425" s="79"/>
      <c r="H425" s="79"/>
      <c r="J425" s="26"/>
      <c r="K425" s="24"/>
      <c r="L425" s="24"/>
    </row>
    <row r="426" spans="1:12" ht="15" customHeight="1">
      <c r="A426" s="78"/>
      <c r="B426" s="79"/>
      <c r="C426" s="79"/>
      <c r="D426" s="79"/>
      <c r="E426" s="79"/>
      <c r="F426" s="79"/>
      <c r="G426" s="79"/>
      <c r="H426" s="79"/>
      <c r="J426" s="26"/>
      <c r="K426" s="24"/>
      <c r="L426" s="24"/>
    </row>
    <row r="427" spans="1:12" ht="15" customHeight="1">
      <c r="A427" s="78"/>
      <c r="B427" s="79"/>
      <c r="C427" s="79"/>
      <c r="D427" s="79"/>
      <c r="E427" s="79"/>
      <c r="F427" s="79"/>
      <c r="G427" s="79"/>
      <c r="H427" s="79"/>
      <c r="J427" s="26"/>
      <c r="K427" s="24"/>
      <c r="L427" s="24"/>
    </row>
    <row r="428" spans="1:12" ht="15" customHeight="1">
      <c r="A428" s="78"/>
      <c r="B428" s="79"/>
      <c r="C428" s="79"/>
      <c r="D428" s="79"/>
      <c r="E428" s="79"/>
      <c r="F428" s="79"/>
      <c r="G428" s="79"/>
      <c r="H428" s="79"/>
      <c r="J428" s="26"/>
      <c r="K428" s="24"/>
      <c r="L428" s="24"/>
    </row>
    <row r="429" spans="1:12" ht="15" customHeight="1">
      <c r="A429" s="78"/>
      <c r="B429" s="79"/>
      <c r="C429" s="79"/>
      <c r="D429" s="79"/>
      <c r="E429" s="79"/>
      <c r="F429" s="79"/>
      <c r="G429" s="79"/>
      <c r="H429" s="79"/>
      <c r="J429" s="26"/>
      <c r="K429" s="24"/>
      <c r="L429" s="24"/>
    </row>
    <row r="430" spans="1:12" ht="15" customHeight="1">
      <c r="A430" s="78"/>
      <c r="B430" s="79"/>
      <c r="C430" s="79"/>
      <c r="D430" s="79"/>
      <c r="E430" s="79"/>
      <c r="F430" s="79"/>
      <c r="G430" s="79"/>
      <c r="H430" s="79"/>
      <c r="J430" s="26"/>
      <c r="K430" s="24"/>
      <c r="L430" s="24"/>
    </row>
    <row r="431" spans="1:12" ht="15" customHeight="1">
      <c r="A431" s="78"/>
      <c r="B431" s="79"/>
      <c r="C431" s="79"/>
      <c r="D431" s="79"/>
      <c r="E431" s="79"/>
      <c r="F431" s="79"/>
      <c r="G431" s="79"/>
      <c r="H431" s="79"/>
      <c r="J431" s="26"/>
      <c r="K431" s="24"/>
      <c r="L431" s="24"/>
    </row>
    <row r="432" spans="1:12" ht="15" customHeight="1">
      <c r="A432" s="78"/>
      <c r="B432" s="79"/>
      <c r="C432" s="79"/>
      <c r="D432" s="79"/>
      <c r="E432" s="79"/>
      <c r="F432" s="79"/>
      <c r="G432" s="79"/>
      <c r="H432" s="79"/>
      <c r="J432" s="26"/>
      <c r="K432" s="24"/>
      <c r="L432" s="24"/>
    </row>
    <row r="433" spans="1:12" ht="15" customHeight="1">
      <c r="A433" s="78"/>
      <c r="B433" s="79"/>
      <c r="C433" s="79"/>
      <c r="D433" s="79"/>
      <c r="E433" s="79"/>
      <c r="F433" s="79"/>
      <c r="G433" s="79"/>
      <c r="H433" s="79"/>
      <c r="J433" s="26"/>
      <c r="K433" s="24"/>
      <c r="L433" s="24"/>
    </row>
    <row r="434" spans="1:12" ht="15" customHeight="1">
      <c r="A434" s="78"/>
      <c r="B434" s="79"/>
      <c r="C434" s="79"/>
      <c r="D434" s="79"/>
      <c r="E434" s="79"/>
      <c r="F434" s="79"/>
      <c r="G434" s="79"/>
      <c r="H434" s="79"/>
      <c r="J434" s="26"/>
      <c r="K434" s="24"/>
      <c r="L434" s="24"/>
    </row>
    <row r="435" spans="1:12" ht="15" customHeight="1">
      <c r="A435" s="78"/>
      <c r="B435" s="79"/>
      <c r="C435" s="79"/>
      <c r="D435" s="79"/>
      <c r="E435" s="79"/>
      <c r="F435" s="79"/>
      <c r="G435" s="79"/>
      <c r="H435" s="79"/>
      <c r="J435" s="26"/>
      <c r="K435" s="24"/>
      <c r="L435" s="24"/>
    </row>
    <row r="436" spans="1:12" ht="15" customHeight="1">
      <c r="A436" s="78"/>
      <c r="B436" s="79"/>
      <c r="C436" s="79"/>
      <c r="D436" s="79"/>
      <c r="E436" s="79"/>
      <c r="F436" s="79"/>
      <c r="G436" s="79"/>
      <c r="H436" s="79"/>
      <c r="J436" s="26"/>
      <c r="K436" s="24"/>
      <c r="L436" s="24"/>
    </row>
    <row r="437" spans="1:12" ht="15" customHeight="1">
      <c r="A437" s="78"/>
      <c r="B437" s="79"/>
      <c r="C437" s="79"/>
      <c r="D437" s="79"/>
      <c r="E437" s="79"/>
      <c r="F437" s="79"/>
      <c r="G437" s="79"/>
      <c r="H437" s="79"/>
      <c r="J437" s="26"/>
      <c r="K437" s="24"/>
      <c r="L437" s="24"/>
    </row>
    <row r="438" spans="1:12" ht="15" customHeight="1">
      <c r="A438" s="78"/>
      <c r="B438" s="79"/>
      <c r="C438" s="79"/>
      <c r="D438" s="79"/>
      <c r="E438" s="79"/>
      <c r="F438" s="79"/>
      <c r="G438" s="79"/>
      <c r="H438" s="79"/>
      <c r="J438" s="26"/>
      <c r="K438" s="24"/>
      <c r="L438" s="24"/>
    </row>
    <row r="439" spans="1:12" ht="15" customHeight="1">
      <c r="A439" s="78"/>
      <c r="B439" s="79"/>
      <c r="C439" s="79"/>
      <c r="D439" s="79"/>
      <c r="E439" s="79"/>
      <c r="F439" s="79"/>
      <c r="G439" s="79"/>
      <c r="H439" s="79"/>
      <c r="J439" s="26"/>
      <c r="K439" s="24"/>
      <c r="L439" s="24"/>
    </row>
    <row r="440" spans="1:12" ht="13.2" customHeight="1">
      <c r="A440" s="78"/>
      <c r="B440" s="79"/>
      <c r="C440" s="79"/>
      <c r="D440" s="79"/>
      <c r="E440" s="79"/>
      <c r="F440" s="79"/>
      <c r="G440" s="79"/>
      <c r="H440" s="79"/>
      <c r="J440" s="26"/>
      <c r="K440" s="24"/>
      <c r="L440" s="24"/>
    </row>
    <row r="441" spans="1:12" ht="15" customHeight="1">
      <c r="A441" s="78"/>
      <c r="B441" s="79"/>
      <c r="C441" s="79"/>
      <c r="D441" s="79"/>
      <c r="E441" s="79"/>
      <c r="F441" s="79"/>
      <c r="G441" s="79"/>
      <c r="H441" s="79"/>
      <c r="J441" s="26"/>
      <c r="K441" s="24"/>
      <c r="L441" s="24"/>
    </row>
    <row r="442" spans="1:12" ht="15" customHeight="1">
      <c r="A442" s="78"/>
      <c r="B442" s="79"/>
      <c r="C442" s="79"/>
      <c r="D442" s="79"/>
      <c r="E442" s="79"/>
      <c r="F442" s="79"/>
      <c r="G442" s="79"/>
      <c r="H442" s="79"/>
      <c r="J442" s="26"/>
      <c r="K442" s="24"/>
      <c r="L442" s="24"/>
    </row>
    <row r="443" spans="1:12" ht="15" customHeight="1">
      <c r="A443" s="78"/>
      <c r="B443" s="79"/>
      <c r="C443" s="79"/>
      <c r="D443" s="79"/>
      <c r="E443" s="79"/>
      <c r="F443" s="79"/>
      <c r="G443" s="79"/>
      <c r="H443" s="79"/>
      <c r="J443" s="26"/>
      <c r="K443" s="24"/>
      <c r="L443" s="24"/>
    </row>
    <row r="444" spans="1:12" ht="15" customHeight="1">
      <c r="A444" s="78"/>
      <c r="B444" s="79"/>
      <c r="C444" s="79"/>
      <c r="D444" s="79"/>
      <c r="E444" s="79"/>
      <c r="F444" s="79"/>
      <c r="G444" s="79"/>
      <c r="H444" s="79"/>
      <c r="J444" s="26"/>
      <c r="K444" s="24"/>
      <c r="L444" s="24"/>
    </row>
    <row r="445" spans="1:12" ht="15" customHeight="1">
      <c r="A445" s="78"/>
      <c r="B445" s="79"/>
      <c r="C445" s="79"/>
      <c r="D445" s="79"/>
      <c r="E445" s="79"/>
      <c r="F445" s="79"/>
      <c r="G445" s="79"/>
      <c r="H445" s="79"/>
      <c r="J445" s="26"/>
      <c r="K445" s="24"/>
      <c r="L445" s="24"/>
    </row>
    <row r="446" spans="1:12" ht="15" customHeight="1">
      <c r="A446" s="78"/>
      <c r="B446" s="79"/>
      <c r="C446" s="79"/>
      <c r="D446" s="79"/>
      <c r="E446" s="79"/>
      <c r="F446" s="79"/>
      <c r="G446" s="79"/>
      <c r="H446" s="79"/>
      <c r="J446" s="26"/>
      <c r="K446" s="24"/>
      <c r="L446" s="24"/>
    </row>
    <row r="447" spans="1:12" ht="15" customHeight="1">
      <c r="A447" s="78"/>
      <c r="B447" s="79"/>
      <c r="C447" s="79"/>
      <c r="D447" s="79"/>
      <c r="E447" s="79"/>
      <c r="F447" s="79"/>
      <c r="G447" s="79"/>
      <c r="H447" s="79"/>
      <c r="J447" s="26"/>
      <c r="K447" s="24"/>
      <c r="L447" s="24"/>
    </row>
    <row r="448" spans="1:12" ht="15" customHeight="1">
      <c r="A448" s="78"/>
      <c r="B448" s="79"/>
      <c r="C448" s="79"/>
      <c r="D448" s="79"/>
      <c r="E448" s="79"/>
      <c r="F448" s="79"/>
      <c r="G448" s="79"/>
      <c r="H448" s="79"/>
      <c r="J448" s="26"/>
      <c r="K448" s="24"/>
      <c r="L448" s="24"/>
    </row>
    <row r="449" spans="1:12" ht="15" customHeight="1">
      <c r="A449" s="78"/>
      <c r="B449" s="79"/>
      <c r="C449" s="79"/>
      <c r="D449" s="79"/>
      <c r="E449" s="79"/>
      <c r="F449" s="79"/>
      <c r="G449" s="79"/>
      <c r="H449" s="79"/>
      <c r="J449" s="26"/>
      <c r="K449" s="24"/>
      <c r="L449" s="24"/>
    </row>
    <row r="450" spans="1:12" ht="15" customHeight="1">
      <c r="A450" s="78"/>
      <c r="B450" s="79"/>
      <c r="C450" s="79"/>
      <c r="D450" s="79"/>
      <c r="E450" s="79"/>
      <c r="F450" s="79"/>
      <c r="G450" s="79"/>
      <c r="H450" s="79"/>
      <c r="J450" s="26"/>
      <c r="K450" s="24"/>
      <c r="L450" s="24"/>
    </row>
    <row r="451" spans="1:12" ht="15" customHeight="1">
      <c r="A451" s="78"/>
      <c r="B451" s="79"/>
      <c r="C451" s="79"/>
      <c r="D451" s="79"/>
      <c r="E451" s="79"/>
      <c r="F451" s="79"/>
      <c r="G451" s="79"/>
      <c r="H451" s="79"/>
      <c r="J451" s="26"/>
      <c r="K451" s="24"/>
      <c r="L451" s="24"/>
    </row>
    <row r="452" spans="1:12" ht="15" customHeight="1">
      <c r="A452" s="78"/>
      <c r="B452" s="79"/>
      <c r="C452" s="79"/>
      <c r="D452" s="79"/>
      <c r="E452" s="79"/>
      <c r="F452" s="79"/>
      <c r="G452" s="79"/>
      <c r="H452" s="79"/>
      <c r="J452" s="26"/>
      <c r="K452" s="24"/>
      <c r="L452" s="24"/>
    </row>
    <row r="453" spans="1:12" ht="15" customHeight="1">
      <c r="A453" s="78"/>
      <c r="B453" s="79"/>
      <c r="C453" s="79"/>
      <c r="D453" s="79"/>
      <c r="E453" s="79"/>
      <c r="F453" s="79"/>
      <c r="G453" s="79"/>
      <c r="H453" s="79"/>
      <c r="J453" s="26"/>
      <c r="K453" s="24"/>
      <c r="L453" s="24"/>
    </row>
    <row r="454" spans="1:12" ht="15" customHeight="1">
      <c r="A454" s="78"/>
      <c r="B454" s="79"/>
      <c r="C454" s="79"/>
      <c r="D454" s="79"/>
      <c r="E454" s="79"/>
      <c r="F454" s="79"/>
      <c r="G454" s="79"/>
      <c r="H454" s="79"/>
      <c r="J454" s="26"/>
      <c r="K454" s="24"/>
      <c r="L454" s="24"/>
    </row>
    <row r="455" spans="1:12" ht="15" customHeight="1">
      <c r="A455" s="78"/>
      <c r="B455" s="79"/>
      <c r="C455" s="79"/>
      <c r="D455" s="79"/>
      <c r="E455" s="79"/>
      <c r="F455" s="79"/>
      <c r="G455" s="79"/>
      <c r="H455" s="79"/>
      <c r="J455" s="26"/>
      <c r="K455" s="24"/>
      <c r="L455" s="24"/>
    </row>
    <row r="456" spans="1:12" ht="15" customHeight="1">
      <c r="A456" s="78"/>
      <c r="B456" s="79"/>
      <c r="C456" s="79"/>
      <c r="D456" s="79"/>
      <c r="E456" s="79"/>
      <c r="F456" s="79"/>
      <c r="G456" s="79"/>
      <c r="H456" s="79"/>
      <c r="J456" s="26"/>
      <c r="K456" s="24"/>
      <c r="L456" s="24"/>
    </row>
    <row r="457" spans="1:12" ht="15" customHeight="1">
      <c r="A457" s="78"/>
      <c r="B457" s="79"/>
      <c r="C457" s="79"/>
      <c r="D457" s="79"/>
      <c r="E457" s="79"/>
      <c r="F457" s="79"/>
      <c r="G457" s="79"/>
      <c r="H457" s="79"/>
      <c r="J457" s="26"/>
      <c r="K457" s="24"/>
      <c r="L457" s="24"/>
    </row>
    <row r="458" spans="1:12" ht="15" customHeight="1">
      <c r="A458" s="78"/>
      <c r="B458" s="79"/>
      <c r="C458" s="79"/>
      <c r="D458" s="79"/>
      <c r="E458" s="79"/>
      <c r="F458" s="79"/>
      <c r="G458" s="79"/>
      <c r="H458" s="79"/>
      <c r="J458" s="26"/>
      <c r="K458" s="24"/>
      <c r="L458" s="24"/>
    </row>
    <row r="459" spans="1:12" ht="15" customHeight="1">
      <c r="A459" s="78"/>
      <c r="B459" s="79"/>
      <c r="C459" s="79"/>
      <c r="D459" s="79"/>
      <c r="E459" s="79"/>
      <c r="F459" s="79"/>
      <c r="G459" s="79"/>
      <c r="H459" s="79"/>
      <c r="J459" s="26"/>
      <c r="K459" s="24"/>
      <c r="L459" s="24"/>
    </row>
    <row r="460" spans="1:12" ht="15" customHeight="1">
      <c r="A460" s="78"/>
      <c r="B460" s="79"/>
      <c r="C460" s="79"/>
      <c r="D460" s="79"/>
      <c r="E460" s="79"/>
      <c r="F460" s="79"/>
      <c r="G460" s="79"/>
      <c r="H460" s="79"/>
      <c r="J460" s="26"/>
      <c r="K460" s="24"/>
      <c r="L460" s="24"/>
    </row>
    <row r="461" spans="1:12" ht="15" customHeight="1">
      <c r="A461" s="78"/>
      <c r="B461" s="79"/>
      <c r="C461" s="79"/>
      <c r="D461" s="79"/>
      <c r="E461" s="79"/>
      <c r="F461" s="79"/>
      <c r="G461" s="79"/>
      <c r="H461" s="79"/>
      <c r="J461" s="26"/>
      <c r="K461" s="24"/>
      <c r="L461" s="24"/>
    </row>
    <row r="462" spans="1:12" ht="15" customHeight="1">
      <c r="A462" s="78"/>
      <c r="B462" s="79"/>
      <c r="C462" s="79"/>
      <c r="D462" s="79"/>
      <c r="E462" s="79"/>
      <c r="F462" s="79"/>
      <c r="G462" s="79"/>
      <c r="H462" s="79"/>
      <c r="J462" s="26"/>
      <c r="K462" s="24"/>
      <c r="L462" s="24"/>
    </row>
    <row r="463" spans="1:12" ht="15" customHeight="1">
      <c r="A463" s="78"/>
      <c r="B463" s="79"/>
      <c r="C463" s="79"/>
      <c r="D463" s="79"/>
      <c r="E463" s="79"/>
      <c r="F463" s="79"/>
      <c r="G463" s="79"/>
      <c r="H463" s="79"/>
      <c r="J463" s="26"/>
      <c r="K463" s="24"/>
      <c r="L463" s="24"/>
    </row>
    <row r="464" spans="1:12" ht="15" customHeight="1">
      <c r="A464" s="78"/>
      <c r="B464" s="79"/>
      <c r="C464" s="79"/>
      <c r="D464" s="79"/>
      <c r="E464" s="79"/>
      <c r="F464" s="79"/>
      <c r="G464" s="79"/>
      <c r="H464" s="79"/>
      <c r="J464" s="26"/>
      <c r="K464" s="24"/>
      <c r="L464" s="24"/>
    </row>
    <row r="465" spans="1:12" ht="15" customHeight="1">
      <c r="A465" s="78"/>
      <c r="B465" s="79"/>
      <c r="C465" s="79"/>
      <c r="D465" s="79"/>
      <c r="E465" s="79"/>
      <c r="F465" s="79"/>
      <c r="G465" s="79"/>
      <c r="H465" s="79"/>
      <c r="J465" s="26"/>
      <c r="K465" s="24"/>
      <c r="L465" s="24"/>
    </row>
    <row r="466" spans="1:12" ht="15" customHeight="1">
      <c r="A466" s="78"/>
      <c r="B466" s="79"/>
      <c r="C466" s="79"/>
      <c r="D466" s="79"/>
      <c r="E466" s="79"/>
      <c r="F466" s="79"/>
      <c r="G466" s="79"/>
      <c r="H466" s="79"/>
      <c r="J466" s="26"/>
      <c r="K466" s="24"/>
      <c r="L466" s="24"/>
    </row>
    <row r="467" spans="1:12" ht="15" customHeight="1">
      <c r="A467" s="78"/>
      <c r="B467" s="79"/>
      <c r="C467" s="79"/>
      <c r="D467" s="79"/>
      <c r="E467" s="79"/>
      <c r="F467" s="79"/>
      <c r="G467" s="79"/>
      <c r="H467" s="79"/>
      <c r="J467" s="26"/>
      <c r="K467" s="24"/>
      <c r="L467" s="24"/>
    </row>
    <row r="468" spans="1:12" ht="15" customHeight="1">
      <c r="A468" s="78"/>
      <c r="B468" s="79"/>
      <c r="C468" s="79"/>
      <c r="D468" s="79"/>
      <c r="E468" s="79"/>
      <c r="F468" s="79"/>
      <c r="G468" s="79"/>
      <c r="H468" s="79"/>
      <c r="J468" s="26"/>
      <c r="K468" s="24"/>
      <c r="L468" s="24"/>
    </row>
    <row r="469" spans="1:12" ht="15" customHeight="1">
      <c r="A469" s="78"/>
      <c r="B469" s="79"/>
      <c r="C469" s="79"/>
      <c r="D469" s="79"/>
      <c r="E469" s="79"/>
      <c r="F469" s="79"/>
      <c r="G469" s="79"/>
      <c r="H469" s="79"/>
      <c r="J469" s="26"/>
      <c r="K469" s="24"/>
      <c r="L469" s="24"/>
    </row>
    <row r="470" spans="1:12" ht="15" customHeight="1">
      <c r="A470" s="78"/>
      <c r="B470" s="79"/>
      <c r="C470" s="79"/>
      <c r="D470" s="79"/>
      <c r="E470" s="79"/>
      <c r="F470" s="79"/>
      <c r="G470" s="79"/>
      <c r="H470" s="79"/>
      <c r="J470" s="26"/>
      <c r="K470" s="24"/>
      <c r="L470" s="24"/>
    </row>
    <row r="471" spans="1:12" ht="15" customHeight="1">
      <c r="A471" s="78"/>
      <c r="B471" s="79"/>
      <c r="C471" s="79"/>
      <c r="D471" s="79"/>
      <c r="E471" s="79"/>
      <c r="F471" s="79"/>
      <c r="G471" s="79"/>
      <c r="H471" s="79"/>
      <c r="J471" s="26"/>
      <c r="K471" s="24"/>
      <c r="L471" s="24"/>
    </row>
    <row r="472" spans="1:12" ht="15" customHeight="1">
      <c r="A472" s="78"/>
      <c r="B472" s="79"/>
      <c r="C472" s="79"/>
      <c r="D472" s="79"/>
      <c r="E472" s="79"/>
      <c r="F472" s="79"/>
      <c r="G472" s="79"/>
      <c r="H472" s="79"/>
      <c r="J472" s="26"/>
      <c r="K472" s="24"/>
      <c r="L472" s="24"/>
    </row>
    <row r="473" spans="1:12" ht="15" customHeight="1">
      <c r="A473" s="78"/>
      <c r="B473" s="79"/>
      <c r="C473" s="79"/>
      <c r="D473" s="79"/>
      <c r="E473" s="79"/>
      <c r="F473" s="79"/>
      <c r="G473" s="79"/>
      <c r="H473" s="79"/>
      <c r="J473" s="26"/>
      <c r="K473" s="24"/>
      <c r="L473" s="24"/>
    </row>
    <row r="474" spans="1:12" ht="15" customHeight="1">
      <c r="A474" s="78"/>
      <c r="B474" s="79"/>
      <c r="C474" s="79"/>
      <c r="D474" s="79"/>
      <c r="E474" s="79"/>
      <c r="F474" s="79"/>
      <c r="G474" s="79"/>
      <c r="H474" s="79"/>
      <c r="J474" s="26"/>
      <c r="K474" s="24"/>
      <c r="L474" s="24"/>
    </row>
    <row r="475" spans="1:12" ht="15" customHeight="1">
      <c r="A475" s="78"/>
      <c r="B475" s="79"/>
      <c r="C475" s="79"/>
      <c r="D475" s="79"/>
      <c r="E475" s="79"/>
      <c r="F475" s="79"/>
      <c r="G475" s="79"/>
      <c r="H475" s="79"/>
      <c r="J475" s="26"/>
      <c r="K475" s="24"/>
      <c r="L475" s="24"/>
    </row>
    <row r="476" spans="1:12" ht="15" customHeight="1">
      <c r="A476" s="78"/>
      <c r="B476" s="79"/>
      <c r="C476" s="79"/>
      <c r="D476" s="79"/>
      <c r="E476" s="79"/>
      <c r="F476" s="79"/>
      <c r="G476" s="79"/>
      <c r="H476" s="79"/>
      <c r="J476" s="26"/>
      <c r="K476" s="24"/>
      <c r="L476" s="24"/>
    </row>
    <row r="477" spans="1:12" ht="15" customHeight="1">
      <c r="A477" s="78"/>
      <c r="B477" s="79"/>
      <c r="C477" s="79"/>
      <c r="D477" s="79"/>
      <c r="E477" s="79"/>
      <c r="F477" s="79"/>
      <c r="G477" s="79"/>
      <c r="H477" s="79"/>
      <c r="J477" s="26"/>
      <c r="K477" s="24"/>
      <c r="L477" s="24"/>
    </row>
    <row r="478" spans="1:12" ht="15" customHeight="1">
      <c r="A478" s="78"/>
      <c r="B478" s="79"/>
      <c r="C478" s="79"/>
      <c r="D478" s="79"/>
      <c r="E478" s="79"/>
      <c r="F478" s="79"/>
      <c r="G478" s="79"/>
      <c r="H478" s="79"/>
      <c r="J478" s="26"/>
      <c r="K478" s="24"/>
      <c r="L478" s="24"/>
    </row>
    <row r="479" spans="1:12" ht="15" customHeight="1">
      <c r="A479" s="78"/>
      <c r="B479" s="79"/>
      <c r="C479" s="79"/>
      <c r="D479" s="79"/>
      <c r="E479" s="79"/>
      <c r="F479" s="79"/>
      <c r="G479" s="79"/>
      <c r="H479" s="79"/>
      <c r="J479" s="26"/>
      <c r="K479" s="24"/>
      <c r="L479" s="24"/>
    </row>
    <row r="480" spans="1:12" ht="15" customHeight="1">
      <c r="A480" s="78"/>
      <c r="B480" s="79"/>
      <c r="C480" s="79"/>
      <c r="D480" s="79"/>
      <c r="E480" s="79"/>
      <c r="F480" s="79"/>
      <c r="G480" s="79"/>
      <c r="H480" s="79"/>
      <c r="J480" s="26"/>
      <c r="K480" s="24"/>
      <c r="L480" s="24"/>
    </row>
    <row r="481" spans="1:12" ht="15" customHeight="1">
      <c r="A481" s="78"/>
      <c r="B481" s="79"/>
      <c r="C481" s="79"/>
      <c r="D481" s="79"/>
      <c r="E481" s="79"/>
      <c r="F481" s="79"/>
      <c r="G481" s="79"/>
      <c r="H481" s="79"/>
      <c r="J481" s="26"/>
      <c r="K481" s="24"/>
      <c r="L481" s="24"/>
    </row>
    <row r="482" spans="1:12" ht="15" customHeight="1">
      <c r="A482" s="78"/>
      <c r="B482" s="79"/>
      <c r="C482" s="79"/>
      <c r="D482" s="79"/>
      <c r="E482" s="79"/>
      <c r="F482" s="79"/>
      <c r="G482" s="79"/>
      <c r="H482" s="79"/>
      <c r="J482" s="26"/>
      <c r="K482" s="24"/>
      <c r="L482" s="24"/>
    </row>
    <row r="483" spans="1:12" ht="15" customHeight="1">
      <c r="A483" s="78"/>
      <c r="B483" s="79"/>
      <c r="C483" s="79"/>
      <c r="D483" s="79"/>
      <c r="E483" s="79"/>
      <c r="F483" s="79"/>
      <c r="G483" s="79"/>
      <c r="H483" s="79"/>
      <c r="J483" s="26"/>
      <c r="K483" s="24"/>
      <c r="L483" s="24"/>
    </row>
    <row r="484" spans="1:12" ht="15" customHeight="1">
      <c r="A484" s="78"/>
      <c r="B484" s="79"/>
      <c r="C484" s="79"/>
      <c r="D484" s="79"/>
      <c r="E484" s="79"/>
      <c r="F484" s="79"/>
      <c r="G484" s="79"/>
      <c r="H484" s="79"/>
      <c r="J484" s="26"/>
      <c r="K484" s="24"/>
      <c r="L484" s="24"/>
    </row>
    <row r="485" spans="1:12" ht="15" customHeight="1">
      <c r="A485" s="78"/>
      <c r="B485" s="79"/>
      <c r="C485" s="79"/>
      <c r="D485" s="79"/>
      <c r="E485" s="79"/>
      <c r="F485" s="79"/>
      <c r="G485" s="79"/>
      <c r="H485" s="79"/>
      <c r="J485" s="26"/>
      <c r="K485" s="24"/>
      <c r="L485" s="24"/>
    </row>
    <row r="486" spans="1:12" ht="15" customHeight="1">
      <c r="A486" s="78"/>
      <c r="B486" s="79"/>
      <c r="C486" s="79"/>
      <c r="D486" s="79"/>
      <c r="E486" s="79"/>
      <c r="F486" s="79"/>
      <c r="G486" s="79"/>
      <c r="H486" s="79"/>
      <c r="J486" s="26"/>
      <c r="K486" s="24"/>
      <c r="L486" s="24"/>
    </row>
    <row r="487" spans="1:12" ht="15" customHeight="1">
      <c r="A487" s="78"/>
      <c r="B487" s="79"/>
      <c r="C487" s="79"/>
      <c r="D487" s="79"/>
      <c r="E487" s="79"/>
      <c r="F487" s="79"/>
      <c r="G487" s="79"/>
      <c r="H487" s="79"/>
      <c r="J487" s="26"/>
      <c r="K487" s="24"/>
      <c r="L487" s="24"/>
    </row>
    <row r="488" spans="1:12" ht="15" customHeight="1">
      <c r="A488" s="78"/>
      <c r="B488" s="79"/>
      <c r="C488" s="79"/>
      <c r="D488" s="79"/>
      <c r="E488" s="79"/>
      <c r="F488" s="79"/>
      <c r="G488" s="79"/>
      <c r="H488" s="79"/>
      <c r="J488" s="26"/>
      <c r="K488" s="24"/>
      <c r="L488" s="24"/>
    </row>
    <row r="489" spans="1:12" ht="15" customHeight="1">
      <c r="A489" s="78"/>
      <c r="B489" s="79"/>
      <c r="C489" s="79"/>
      <c r="D489" s="79"/>
      <c r="E489" s="79"/>
      <c r="F489" s="79"/>
      <c r="G489" s="79"/>
      <c r="H489" s="79"/>
      <c r="J489" s="26"/>
      <c r="K489" s="24"/>
      <c r="L489" s="24"/>
    </row>
    <row r="490" spans="1:12" ht="15" customHeight="1">
      <c r="A490" s="78"/>
      <c r="B490" s="79"/>
      <c r="C490" s="79"/>
      <c r="D490" s="79"/>
      <c r="E490" s="79"/>
      <c r="F490" s="79"/>
      <c r="G490" s="79"/>
      <c r="H490" s="79"/>
      <c r="J490" s="26"/>
      <c r="K490" s="24"/>
      <c r="L490" s="24"/>
    </row>
    <row r="491" spans="1:12" ht="15" customHeight="1">
      <c r="A491" s="78"/>
      <c r="B491" s="79"/>
      <c r="C491" s="79"/>
      <c r="D491" s="79"/>
      <c r="E491" s="79"/>
      <c r="F491" s="79"/>
      <c r="G491" s="79"/>
      <c r="H491" s="79"/>
      <c r="J491" s="26"/>
      <c r="K491" s="24"/>
      <c r="L491" s="24"/>
    </row>
    <row r="492" spans="1:12" ht="15" customHeight="1">
      <c r="A492" s="78"/>
      <c r="B492" s="79"/>
      <c r="C492" s="79"/>
      <c r="D492" s="79"/>
      <c r="E492" s="79"/>
      <c r="F492" s="79"/>
      <c r="G492" s="79"/>
      <c r="H492" s="79"/>
      <c r="J492" s="26"/>
      <c r="K492" s="24"/>
      <c r="L492" s="24"/>
    </row>
    <row r="493" spans="1:12" ht="15" customHeight="1">
      <c r="A493" s="78"/>
      <c r="B493" s="79"/>
      <c r="C493" s="79"/>
      <c r="D493" s="79"/>
      <c r="E493" s="79"/>
      <c r="F493" s="79"/>
      <c r="G493" s="79"/>
      <c r="H493" s="79"/>
      <c r="J493" s="26"/>
      <c r="K493" s="24"/>
      <c r="L493" s="24"/>
    </row>
    <row r="494" spans="1:12" ht="15" customHeight="1">
      <c r="A494" s="78"/>
      <c r="B494" s="79"/>
      <c r="C494" s="79"/>
      <c r="D494" s="79"/>
      <c r="E494" s="79"/>
      <c r="F494" s="79"/>
      <c r="G494" s="79"/>
      <c r="H494" s="79"/>
      <c r="J494" s="26"/>
      <c r="K494" s="24"/>
      <c r="L494" s="24"/>
    </row>
    <row r="495" spans="1:12" ht="15" customHeight="1">
      <c r="A495" s="78"/>
      <c r="B495" s="79"/>
      <c r="C495" s="79"/>
      <c r="D495" s="79"/>
      <c r="E495" s="79"/>
      <c r="F495" s="79"/>
      <c r="G495" s="79"/>
      <c r="H495" s="79"/>
      <c r="J495" s="26"/>
      <c r="K495" s="24"/>
      <c r="L495" s="24"/>
    </row>
    <row r="496" spans="1:12" ht="15" customHeight="1">
      <c r="A496" s="78"/>
      <c r="B496" s="79"/>
      <c r="C496" s="79"/>
      <c r="D496" s="79"/>
      <c r="E496" s="79"/>
      <c r="F496" s="79"/>
      <c r="G496" s="79"/>
      <c r="H496" s="79"/>
      <c r="J496" s="26"/>
      <c r="K496" s="24"/>
      <c r="L496" s="24"/>
    </row>
    <row r="497" spans="1:12" ht="15" customHeight="1">
      <c r="A497" s="78"/>
      <c r="B497" s="79"/>
      <c r="C497" s="79"/>
      <c r="D497" s="79"/>
      <c r="E497" s="79"/>
      <c r="F497" s="79"/>
      <c r="G497" s="79"/>
      <c r="H497" s="79"/>
      <c r="J497" s="26"/>
      <c r="K497" s="24"/>
      <c r="L497" s="24"/>
    </row>
    <row r="498" spans="1:12" ht="15" customHeight="1">
      <c r="A498" s="78"/>
      <c r="B498" s="79"/>
      <c r="C498" s="79"/>
      <c r="D498" s="79"/>
      <c r="E498" s="79"/>
      <c r="F498" s="79"/>
      <c r="G498" s="79"/>
      <c r="H498" s="79"/>
      <c r="J498" s="26"/>
      <c r="K498" s="24"/>
      <c r="L498" s="24"/>
    </row>
    <row r="499" spans="1:12" ht="15" customHeight="1">
      <c r="A499" s="78"/>
      <c r="B499" s="79"/>
      <c r="C499" s="79"/>
      <c r="D499" s="79"/>
      <c r="E499" s="79"/>
      <c r="F499" s="79"/>
      <c r="G499" s="79"/>
      <c r="H499" s="79"/>
      <c r="J499" s="26"/>
      <c r="K499" s="24"/>
      <c r="L499" s="24"/>
    </row>
    <row r="500" spans="1:12" ht="15" customHeight="1">
      <c r="A500" s="78"/>
      <c r="B500" s="79"/>
      <c r="C500" s="79"/>
      <c r="D500" s="79"/>
      <c r="E500" s="79"/>
      <c r="F500" s="79"/>
      <c r="G500" s="79"/>
      <c r="H500" s="79"/>
      <c r="J500" s="26"/>
      <c r="K500" s="24"/>
      <c r="L500" s="24"/>
    </row>
    <row r="501" spans="1:12" ht="15" customHeight="1">
      <c r="A501" s="78"/>
      <c r="B501" s="79"/>
      <c r="C501" s="79"/>
      <c r="D501" s="79"/>
      <c r="E501" s="79"/>
      <c r="F501" s="79"/>
      <c r="G501" s="79"/>
      <c r="H501" s="79"/>
      <c r="J501" s="26"/>
      <c r="K501" s="24"/>
      <c r="L501" s="24"/>
    </row>
    <row r="502" spans="1:12" ht="15" customHeight="1">
      <c r="A502" s="78"/>
      <c r="B502" s="79"/>
      <c r="C502" s="79"/>
      <c r="D502" s="79"/>
      <c r="E502" s="79"/>
      <c r="F502" s="79"/>
      <c r="G502" s="79"/>
      <c r="H502" s="79"/>
      <c r="J502" s="26"/>
      <c r="K502" s="24"/>
      <c r="L502" s="24"/>
    </row>
    <row r="503" spans="1:12" ht="15" customHeight="1">
      <c r="A503" s="78"/>
      <c r="B503" s="79"/>
      <c r="C503" s="79"/>
      <c r="D503" s="79"/>
      <c r="E503" s="79"/>
      <c r="F503" s="79"/>
      <c r="G503" s="79"/>
      <c r="H503" s="79"/>
      <c r="J503" s="26"/>
      <c r="K503" s="24"/>
      <c r="L503" s="24"/>
    </row>
    <row r="504" spans="1:12" ht="15" customHeight="1">
      <c r="A504" s="78"/>
      <c r="B504" s="79"/>
      <c r="C504" s="79"/>
      <c r="D504" s="79"/>
      <c r="E504" s="79"/>
      <c r="F504" s="79"/>
      <c r="G504" s="79"/>
      <c r="H504" s="79"/>
      <c r="J504" s="26"/>
      <c r="K504" s="24"/>
      <c r="L504" s="24"/>
    </row>
    <row r="505" spans="1:12" ht="15" customHeight="1">
      <c r="A505" s="78"/>
      <c r="B505" s="79"/>
      <c r="C505" s="79"/>
      <c r="D505" s="79"/>
      <c r="E505" s="79"/>
      <c r="F505" s="79"/>
      <c r="G505" s="79"/>
      <c r="H505" s="79"/>
      <c r="J505" s="26"/>
      <c r="K505" s="24"/>
      <c r="L505" s="24"/>
    </row>
    <row r="506" spans="1:12" ht="15" customHeight="1">
      <c r="A506" s="78"/>
      <c r="B506" s="79"/>
      <c r="C506" s="79"/>
      <c r="D506" s="79"/>
      <c r="E506" s="79"/>
      <c r="F506" s="79"/>
      <c r="G506" s="79"/>
      <c r="H506" s="79"/>
      <c r="J506" s="26"/>
      <c r="K506" s="24"/>
      <c r="L506" s="24"/>
    </row>
    <row r="507" spans="1:12" ht="15" customHeight="1">
      <c r="A507" s="78"/>
      <c r="B507" s="79"/>
      <c r="C507" s="79"/>
      <c r="D507" s="79"/>
      <c r="E507" s="79"/>
      <c r="F507" s="79"/>
      <c r="G507" s="79"/>
      <c r="H507" s="79"/>
      <c r="J507" s="26"/>
      <c r="K507" s="24"/>
      <c r="L507" s="24"/>
    </row>
    <row r="508" spans="1:12" ht="15" customHeight="1">
      <c r="A508" s="78"/>
      <c r="B508" s="79"/>
      <c r="C508" s="79"/>
      <c r="D508" s="79"/>
      <c r="E508" s="79"/>
      <c r="F508" s="79"/>
      <c r="G508" s="79"/>
      <c r="H508" s="79"/>
      <c r="J508" s="26"/>
      <c r="K508" s="24"/>
      <c r="L508" s="24"/>
    </row>
    <row r="509" spans="1:12" ht="15" customHeight="1">
      <c r="A509" s="78"/>
      <c r="B509" s="79"/>
      <c r="C509" s="79"/>
      <c r="D509" s="79"/>
      <c r="E509" s="79"/>
      <c r="F509" s="79"/>
      <c r="G509" s="79"/>
      <c r="H509" s="79"/>
      <c r="J509" s="26"/>
      <c r="K509" s="24"/>
      <c r="L509" s="24"/>
    </row>
    <row r="510" spans="1:12" ht="15" customHeight="1">
      <c r="A510" s="78"/>
      <c r="B510" s="79"/>
      <c r="C510" s="79"/>
      <c r="D510" s="79"/>
      <c r="E510" s="79"/>
      <c r="F510" s="79"/>
      <c r="G510" s="79"/>
      <c r="H510" s="79"/>
      <c r="J510" s="26"/>
      <c r="K510" s="24"/>
      <c r="L510" s="24"/>
    </row>
    <row r="511" spans="1:12" ht="15" customHeight="1">
      <c r="A511" s="78"/>
      <c r="B511" s="79"/>
      <c r="C511" s="79"/>
      <c r="D511" s="79"/>
      <c r="E511" s="79"/>
      <c r="F511" s="79"/>
      <c r="G511" s="79"/>
      <c r="H511" s="79"/>
      <c r="J511" s="26"/>
      <c r="K511" s="24"/>
      <c r="L511" s="24"/>
    </row>
    <row r="512" spans="1:12" ht="15" customHeight="1">
      <c r="A512" s="78"/>
      <c r="B512" s="79"/>
      <c r="C512" s="79"/>
      <c r="D512" s="79"/>
      <c r="E512" s="79"/>
      <c r="F512" s="79"/>
      <c r="G512" s="79"/>
      <c r="H512" s="79"/>
      <c r="J512" s="26"/>
      <c r="K512" s="24"/>
      <c r="L512" s="24"/>
    </row>
    <row r="513" spans="1:12" ht="15" customHeight="1">
      <c r="A513" s="78"/>
      <c r="B513" s="79"/>
      <c r="C513" s="79"/>
      <c r="D513" s="79"/>
      <c r="E513" s="79"/>
      <c r="F513" s="79"/>
      <c r="G513" s="79"/>
      <c r="H513" s="79"/>
      <c r="J513" s="26"/>
      <c r="K513" s="24"/>
      <c r="L513" s="24"/>
    </row>
    <row r="514" spans="1:12" ht="15" customHeight="1">
      <c r="A514" s="78"/>
      <c r="B514" s="79"/>
      <c r="C514" s="79"/>
      <c r="D514" s="79"/>
      <c r="E514" s="79"/>
      <c r="F514" s="79"/>
      <c r="G514" s="79"/>
      <c r="H514" s="79"/>
      <c r="J514" s="26"/>
      <c r="K514" s="24"/>
      <c r="L514" s="24"/>
    </row>
    <row r="515" spans="1:12" ht="15" customHeight="1">
      <c r="A515" s="78"/>
      <c r="B515" s="79"/>
      <c r="C515" s="79"/>
      <c r="D515" s="79"/>
      <c r="E515" s="79"/>
      <c r="F515" s="79"/>
      <c r="G515" s="79"/>
      <c r="H515" s="79"/>
      <c r="J515" s="26"/>
      <c r="K515" s="24"/>
      <c r="L515" s="24"/>
    </row>
    <row r="516" spans="1:12" ht="15" customHeight="1">
      <c r="A516" s="78"/>
      <c r="B516" s="79"/>
      <c r="C516" s="79"/>
      <c r="D516" s="79"/>
      <c r="E516" s="79"/>
      <c r="F516" s="79"/>
      <c r="G516" s="79"/>
      <c r="H516" s="79"/>
      <c r="J516" s="26"/>
      <c r="K516" s="24"/>
      <c r="L516" s="24"/>
    </row>
    <row r="517" spans="1:12" ht="15" customHeight="1">
      <c r="A517" s="78"/>
      <c r="B517" s="79"/>
      <c r="C517" s="79"/>
      <c r="D517" s="79"/>
      <c r="E517" s="79"/>
      <c r="F517" s="79"/>
      <c r="G517" s="79"/>
      <c r="H517" s="79"/>
      <c r="J517" s="26"/>
      <c r="K517" s="24"/>
      <c r="L517" s="24"/>
    </row>
    <row r="518" spans="1:12" ht="15" customHeight="1">
      <c r="A518" s="78"/>
      <c r="B518" s="79"/>
      <c r="C518" s="79"/>
      <c r="D518" s="79"/>
      <c r="E518" s="79"/>
      <c r="F518" s="79"/>
      <c r="G518" s="79"/>
      <c r="H518" s="79"/>
      <c r="J518" s="26"/>
      <c r="K518" s="24"/>
      <c r="L518" s="24"/>
    </row>
    <row r="519" spans="1:12" ht="15" customHeight="1">
      <c r="A519" s="78"/>
      <c r="B519" s="79"/>
      <c r="C519" s="79"/>
      <c r="D519" s="79"/>
      <c r="E519" s="79"/>
      <c r="F519" s="79"/>
      <c r="G519" s="79"/>
      <c r="H519" s="79"/>
      <c r="J519" s="26"/>
      <c r="K519" s="24"/>
      <c r="L519" s="24"/>
    </row>
    <row r="520" spans="1:12" ht="15" customHeight="1">
      <c r="A520" s="78"/>
      <c r="B520" s="79"/>
      <c r="C520" s="79"/>
      <c r="D520" s="79"/>
      <c r="E520" s="79"/>
      <c r="F520" s="79"/>
      <c r="G520" s="79"/>
      <c r="H520" s="79"/>
      <c r="J520" s="26"/>
      <c r="K520" s="24"/>
      <c r="L520" s="24"/>
    </row>
    <row r="521" spans="1:12" ht="15" customHeight="1">
      <c r="A521" s="78"/>
      <c r="B521" s="79"/>
      <c r="C521" s="79"/>
      <c r="D521" s="79"/>
      <c r="E521" s="79"/>
      <c r="F521" s="79"/>
      <c r="G521" s="79"/>
      <c r="H521" s="79"/>
      <c r="J521" s="26"/>
      <c r="K521" s="24"/>
      <c r="L521" s="24"/>
    </row>
    <row r="522" spans="1:12" ht="15" customHeight="1">
      <c r="A522" s="78"/>
      <c r="B522" s="79"/>
      <c r="C522" s="79"/>
      <c r="D522" s="79"/>
      <c r="E522" s="79"/>
      <c r="F522" s="79"/>
      <c r="G522" s="79"/>
      <c r="H522" s="79"/>
      <c r="J522" s="26"/>
      <c r="K522" s="24"/>
      <c r="L522" s="24"/>
    </row>
    <row r="523" spans="1:12" ht="15" customHeight="1">
      <c r="A523" s="78"/>
      <c r="B523" s="79"/>
      <c r="C523" s="79"/>
      <c r="D523" s="79"/>
      <c r="E523" s="79"/>
      <c r="F523" s="79"/>
      <c r="G523" s="79"/>
      <c r="H523" s="79"/>
      <c r="J523" s="26"/>
      <c r="K523" s="24"/>
      <c r="L523" s="24"/>
    </row>
    <row r="524" spans="1:12" ht="15" customHeight="1">
      <c r="A524" s="78"/>
      <c r="B524" s="79"/>
      <c r="C524" s="79"/>
      <c r="D524" s="79"/>
      <c r="E524" s="79"/>
      <c r="F524" s="79"/>
      <c r="G524" s="79"/>
      <c r="H524" s="79"/>
      <c r="J524" s="26"/>
      <c r="K524" s="24"/>
      <c r="L524" s="24"/>
    </row>
    <row r="525" spans="1:12" ht="15" customHeight="1">
      <c r="A525" s="78"/>
      <c r="B525" s="79"/>
      <c r="C525" s="79"/>
      <c r="D525" s="79"/>
      <c r="E525" s="79"/>
      <c r="F525" s="79"/>
      <c r="G525" s="79"/>
      <c r="H525" s="79"/>
      <c r="J525" s="26"/>
      <c r="K525" s="24"/>
      <c r="L525" s="24"/>
    </row>
    <row r="526" spans="1:12" ht="15" customHeight="1">
      <c r="A526" s="78"/>
      <c r="B526" s="79"/>
      <c r="C526" s="79"/>
      <c r="D526" s="79"/>
      <c r="E526" s="79"/>
      <c r="F526" s="79"/>
      <c r="G526" s="79"/>
      <c r="H526" s="79"/>
      <c r="J526" s="26"/>
      <c r="K526" s="24"/>
      <c r="L526" s="24"/>
    </row>
    <row r="527" spans="1:12" ht="15" customHeight="1">
      <c r="A527" s="78"/>
      <c r="B527" s="79"/>
      <c r="C527" s="79"/>
      <c r="D527" s="79"/>
      <c r="E527" s="79"/>
      <c r="F527" s="79"/>
      <c r="G527" s="79"/>
      <c r="H527" s="79"/>
      <c r="J527" s="26"/>
      <c r="K527" s="24"/>
      <c r="L527" s="24"/>
    </row>
    <row r="528" spans="1:12" ht="15" customHeight="1">
      <c r="A528" s="78"/>
      <c r="B528" s="79"/>
      <c r="C528" s="79"/>
      <c r="D528" s="79"/>
      <c r="E528" s="79"/>
      <c r="F528" s="79"/>
      <c r="G528" s="79"/>
      <c r="H528" s="79"/>
      <c r="J528" s="26"/>
      <c r="K528" s="24"/>
      <c r="L528" s="24"/>
    </row>
    <row r="529" spans="1:12" ht="15" customHeight="1">
      <c r="A529" s="78"/>
      <c r="B529" s="79"/>
      <c r="C529" s="79"/>
      <c r="D529" s="79"/>
      <c r="E529" s="79"/>
      <c r="F529" s="79"/>
      <c r="G529" s="79"/>
      <c r="H529" s="79"/>
      <c r="J529" s="26"/>
      <c r="K529" s="24"/>
      <c r="L529" s="24"/>
    </row>
    <row r="530" spans="1:12" ht="15" customHeight="1">
      <c r="A530" s="78"/>
      <c r="B530" s="79"/>
      <c r="C530" s="79"/>
      <c r="D530" s="79"/>
      <c r="E530" s="79"/>
      <c r="F530" s="79"/>
      <c r="G530" s="79"/>
      <c r="H530" s="79"/>
      <c r="J530" s="26"/>
      <c r="K530" s="24"/>
      <c r="L530" s="24"/>
    </row>
    <row r="531" spans="1:12" ht="15" customHeight="1">
      <c r="A531" s="78"/>
      <c r="B531" s="79"/>
      <c r="C531" s="79"/>
      <c r="D531" s="79"/>
      <c r="E531" s="79"/>
      <c r="F531" s="79"/>
      <c r="G531" s="79"/>
      <c r="H531" s="79"/>
      <c r="J531" s="26"/>
      <c r="K531" s="24"/>
      <c r="L531" s="24"/>
    </row>
    <row r="532" spans="1:12" ht="15" customHeight="1">
      <c r="A532" s="78"/>
      <c r="B532" s="79"/>
      <c r="C532" s="79"/>
      <c r="D532" s="79"/>
      <c r="E532" s="79"/>
      <c r="F532" s="79"/>
      <c r="G532" s="79"/>
      <c r="H532" s="79"/>
      <c r="J532" s="26"/>
      <c r="K532" s="24"/>
      <c r="L532" s="24"/>
    </row>
    <row r="533" spans="1:12" ht="15" customHeight="1">
      <c r="A533" s="78"/>
      <c r="B533" s="79"/>
      <c r="C533" s="79"/>
      <c r="D533" s="79"/>
      <c r="E533" s="79"/>
      <c r="F533" s="79"/>
      <c r="G533" s="79"/>
      <c r="H533" s="79"/>
      <c r="J533" s="26"/>
      <c r="K533" s="24"/>
      <c r="L533" s="24"/>
    </row>
    <row r="534" spans="1:12" ht="15" customHeight="1">
      <c r="A534" s="78"/>
      <c r="B534" s="79"/>
      <c r="C534" s="79"/>
      <c r="D534" s="79"/>
      <c r="E534" s="79"/>
      <c r="F534" s="79"/>
      <c r="G534" s="79"/>
      <c r="H534" s="79"/>
      <c r="J534" s="26"/>
      <c r="K534" s="24"/>
      <c r="L534" s="24"/>
    </row>
    <row r="535" spans="1:12" ht="15" customHeight="1">
      <c r="A535" s="78"/>
      <c r="B535" s="79"/>
      <c r="C535" s="79"/>
      <c r="D535" s="79"/>
      <c r="E535" s="79"/>
      <c r="F535" s="79"/>
      <c r="G535" s="79"/>
      <c r="H535" s="79"/>
      <c r="J535" s="26"/>
      <c r="K535" s="24"/>
      <c r="L535" s="24"/>
    </row>
    <row r="536" spans="1:12" ht="15" customHeight="1">
      <c r="A536" s="78"/>
      <c r="B536" s="79"/>
      <c r="C536" s="79"/>
      <c r="D536" s="79"/>
      <c r="E536" s="79"/>
      <c r="F536" s="79"/>
      <c r="G536" s="79"/>
      <c r="H536" s="79"/>
      <c r="J536" s="26"/>
      <c r="K536" s="24"/>
      <c r="L536" s="24"/>
    </row>
    <row r="537" spans="1:12" ht="15" customHeight="1">
      <c r="A537" s="78"/>
      <c r="B537" s="79"/>
      <c r="C537" s="79"/>
      <c r="D537" s="79"/>
      <c r="E537" s="79"/>
      <c r="F537" s="79"/>
      <c r="G537" s="79"/>
      <c r="H537" s="79"/>
      <c r="J537" s="26"/>
      <c r="K537" s="24"/>
      <c r="L537" s="24"/>
    </row>
    <row r="538" spans="1:12" ht="15" customHeight="1">
      <c r="A538" s="78"/>
      <c r="B538" s="79"/>
      <c r="C538" s="79"/>
      <c r="D538" s="79"/>
      <c r="E538" s="79"/>
      <c r="F538" s="79"/>
      <c r="G538" s="79"/>
      <c r="H538" s="79"/>
      <c r="J538" s="26"/>
      <c r="K538" s="24"/>
      <c r="L538" s="24"/>
    </row>
    <row r="539" spans="1:12" ht="15" customHeight="1">
      <c r="A539" s="78"/>
      <c r="B539" s="79"/>
      <c r="C539" s="79"/>
      <c r="D539" s="79"/>
      <c r="E539" s="79"/>
      <c r="F539" s="79"/>
      <c r="G539" s="79"/>
      <c r="H539" s="79"/>
      <c r="J539" s="26"/>
      <c r="K539" s="24"/>
      <c r="L539" s="24"/>
    </row>
    <row r="540" spans="1:12" ht="15" customHeight="1">
      <c r="A540" s="78"/>
      <c r="B540" s="79"/>
      <c r="C540" s="79"/>
      <c r="D540" s="79"/>
      <c r="E540" s="79"/>
      <c r="F540" s="79"/>
      <c r="G540" s="79"/>
      <c r="H540" s="79"/>
      <c r="J540" s="26"/>
      <c r="K540" s="24"/>
      <c r="L540" s="24"/>
    </row>
    <row r="541" spans="1:12" ht="15" customHeight="1">
      <c r="A541" s="78"/>
      <c r="B541" s="79"/>
      <c r="C541" s="79"/>
      <c r="D541" s="79"/>
      <c r="E541" s="79"/>
      <c r="F541" s="79"/>
      <c r="G541" s="79"/>
      <c r="H541" s="79"/>
      <c r="J541" s="26"/>
      <c r="K541" s="24"/>
      <c r="L541" s="24"/>
    </row>
    <row r="542" spans="1:12" ht="15" customHeight="1">
      <c r="A542" s="78"/>
      <c r="B542" s="79"/>
      <c r="C542" s="79"/>
      <c r="D542" s="79"/>
      <c r="E542" s="79"/>
      <c r="F542" s="79"/>
      <c r="G542" s="79"/>
      <c r="H542" s="79"/>
      <c r="J542" s="26"/>
      <c r="K542" s="24"/>
      <c r="L542" s="24"/>
    </row>
    <row r="543" spans="1:12" ht="15" customHeight="1">
      <c r="A543" s="78"/>
      <c r="B543" s="79"/>
      <c r="C543" s="79"/>
      <c r="D543" s="79"/>
      <c r="E543" s="79"/>
      <c r="F543" s="79"/>
      <c r="G543" s="79"/>
      <c r="H543" s="79"/>
      <c r="J543" s="26"/>
      <c r="K543" s="24"/>
      <c r="L543" s="24"/>
    </row>
    <row r="544" spans="1:12" ht="15" customHeight="1">
      <c r="A544" s="78"/>
      <c r="B544" s="79"/>
      <c r="C544" s="79"/>
      <c r="D544" s="79"/>
      <c r="E544" s="79"/>
      <c r="F544" s="79"/>
      <c r="G544" s="79"/>
      <c r="H544" s="79"/>
      <c r="J544" s="26"/>
      <c r="K544" s="24"/>
      <c r="L544" s="24"/>
    </row>
    <row r="545" spans="1:12" ht="15" customHeight="1">
      <c r="A545" s="78"/>
      <c r="B545" s="79"/>
      <c r="C545" s="79"/>
      <c r="D545" s="79"/>
      <c r="E545" s="79"/>
      <c r="F545" s="79"/>
      <c r="G545" s="79"/>
      <c r="H545" s="79"/>
      <c r="J545" s="26"/>
      <c r="K545" s="24"/>
      <c r="L545" s="24"/>
    </row>
    <row r="546" spans="1:12" ht="15" customHeight="1">
      <c r="A546" s="78"/>
      <c r="B546" s="79"/>
      <c r="C546" s="79"/>
      <c r="D546" s="79"/>
      <c r="E546" s="79"/>
      <c r="F546" s="79"/>
      <c r="G546" s="79"/>
      <c r="H546" s="79"/>
      <c r="J546" s="26"/>
      <c r="K546" s="24"/>
      <c r="L546" s="24"/>
    </row>
    <row r="547" spans="1:12" ht="15" customHeight="1">
      <c r="A547" s="78"/>
      <c r="B547" s="79"/>
      <c r="C547" s="79"/>
      <c r="D547" s="79"/>
      <c r="E547" s="79"/>
      <c r="F547" s="79"/>
      <c r="G547" s="79"/>
      <c r="H547" s="79"/>
      <c r="J547" s="26"/>
      <c r="K547" s="24"/>
      <c r="L547" s="24"/>
    </row>
    <row r="548" spans="1:12" ht="15" customHeight="1">
      <c r="A548" s="78"/>
      <c r="B548" s="79"/>
      <c r="C548" s="79"/>
      <c r="D548" s="79"/>
      <c r="E548" s="79"/>
      <c r="F548" s="79"/>
      <c r="G548" s="79"/>
      <c r="H548" s="79"/>
      <c r="J548" s="26"/>
      <c r="K548" s="24"/>
      <c r="L548" s="24"/>
    </row>
    <row r="549" spans="1:12" ht="15" customHeight="1">
      <c r="A549" s="78"/>
      <c r="B549" s="79"/>
      <c r="C549" s="79"/>
      <c r="D549" s="79"/>
      <c r="E549" s="79"/>
      <c r="F549" s="79"/>
      <c r="G549" s="79"/>
      <c r="H549" s="79"/>
      <c r="J549" s="26"/>
      <c r="K549" s="24"/>
      <c r="L549" s="24"/>
    </row>
    <row r="550" spans="1:12" ht="15" customHeight="1">
      <c r="A550" s="78"/>
      <c r="B550" s="79"/>
      <c r="C550" s="79"/>
      <c r="D550" s="79"/>
      <c r="E550" s="79"/>
      <c r="F550" s="79"/>
      <c r="G550" s="79"/>
      <c r="H550" s="79"/>
      <c r="J550" s="26"/>
      <c r="K550" s="24"/>
      <c r="L550" s="24"/>
    </row>
    <row r="551" spans="1:12" ht="15" customHeight="1">
      <c r="A551" s="78"/>
      <c r="B551" s="79"/>
      <c r="C551" s="79"/>
      <c r="D551" s="79"/>
      <c r="E551" s="79"/>
      <c r="F551" s="79"/>
      <c r="G551" s="79"/>
      <c r="H551" s="79"/>
      <c r="J551" s="26"/>
      <c r="K551" s="24"/>
      <c r="L551" s="24"/>
    </row>
    <row r="552" spans="1:12" ht="15" customHeight="1">
      <c r="A552" s="78"/>
      <c r="B552" s="79"/>
      <c r="C552" s="79"/>
      <c r="D552" s="79"/>
      <c r="E552" s="79"/>
      <c r="F552" s="79"/>
      <c r="G552" s="79"/>
      <c r="H552" s="79"/>
      <c r="J552" s="26"/>
      <c r="K552" s="24"/>
      <c r="L552" s="24"/>
    </row>
    <row r="553" spans="1:12" ht="15" customHeight="1">
      <c r="A553" s="78"/>
      <c r="B553" s="79"/>
      <c r="C553" s="79"/>
      <c r="D553" s="79"/>
      <c r="E553" s="79"/>
      <c r="F553" s="79"/>
      <c r="G553" s="79"/>
      <c r="H553" s="79"/>
      <c r="J553" s="26"/>
      <c r="K553" s="24"/>
      <c r="L553" s="24"/>
    </row>
    <row r="554" spans="1:12" ht="15" customHeight="1">
      <c r="A554" s="78"/>
      <c r="B554" s="79"/>
      <c r="C554" s="79"/>
      <c r="D554" s="79"/>
      <c r="E554" s="79"/>
      <c r="F554" s="79"/>
      <c r="G554" s="79"/>
      <c r="H554" s="79"/>
      <c r="J554" s="26"/>
      <c r="K554" s="24"/>
      <c r="L554" s="24"/>
    </row>
    <row r="555" spans="1:12" ht="15" customHeight="1">
      <c r="A555" s="78"/>
      <c r="B555" s="79"/>
      <c r="C555" s="79"/>
      <c r="D555" s="79"/>
      <c r="E555" s="79"/>
      <c r="F555" s="79"/>
      <c r="G555" s="79"/>
      <c r="H555" s="79"/>
      <c r="J555" s="26"/>
      <c r="K555" s="24"/>
      <c r="L555" s="24"/>
    </row>
    <row r="556" spans="1:12" ht="15" customHeight="1">
      <c r="A556" s="78"/>
      <c r="B556" s="79"/>
      <c r="C556" s="79"/>
      <c r="D556" s="79"/>
      <c r="E556" s="79"/>
      <c r="F556" s="79"/>
      <c r="G556" s="79"/>
      <c r="H556" s="79"/>
      <c r="J556" s="26"/>
      <c r="K556" s="24"/>
      <c r="L556" s="24"/>
    </row>
    <row r="557" spans="1:12" ht="15" customHeight="1">
      <c r="A557" s="78"/>
      <c r="B557" s="79"/>
      <c r="C557" s="79"/>
      <c r="D557" s="79"/>
      <c r="E557" s="79"/>
      <c r="F557" s="79"/>
      <c r="G557" s="79"/>
      <c r="H557" s="79"/>
      <c r="J557" s="26"/>
      <c r="K557" s="24"/>
      <c r="L557" s="24"/>
    </row>
    <row r="558" spans="1:12" ht="15" customHeight="1">
      <c r="A558" s="78"/>
      <c r="B558" s="79"/>
      <c r="C558" s="79"/>
      <c r="D558" s="79"/>
      <c r="E558" s="79"/>
      <c r="F558" s="79"/>
      <c r="G558" s="79"/>
      <c r="H558" s="79"/>
      <c r="J558" s="26"/>
      <c r="K558" s="24"/>
      <c r="L558" s="24"/>
    </row>
    <row r="559" spans="1:12" ht="15" customHeight="1">
      <c r="A559" s="78"/>
      <c r="B559" s="79"/>
      <c r="C559" s="79"/>
      <c r="D559" s="79"/>
      <c r="E559" s="79"/>
      <c r="F559" s="79"/>
      <c r="G559" s="79"/>
      <c r="H559" s="79"/>
      <c r="J559" s="26"/>
      <c r="K559" s="24"/>
      <c r="L559" s="24"/>
    </row>
    <row r="560" spans="1:12" ht="15" customHeight="1">
      <c r="A560" s="78"/>
      <c r="B560" s="79"/>
      <c r="C560" s="79"/>
      <c r="D560" s="79"/>
      <c r="E560" s="79"/>
      <c r="F560" s="79"/>
      <c r="G560" s="79"/>
      <c r="H560" s="79"/>
      <c r="J560" s="26"/>
      <c r="K560" s="24"/>
      <c r="L560" s="24"/>
    </row>
    <row r="561" spans="1:12" ht="15" customHeight="1">
      <c r="A561" s="78"/>
      <c r="B561" s="79"/>
      <c r="C561" s="79"/>
      <c r="D561" s="79"/>
      <c r="E561" s="79"/>
      <c r="F561" s="79"/>
      <c r="G561" s="79"/>
      <c r="H561" s="79"/>
      <c r="J561" s="26"/>
      <c r="K561" s="24"/>
      <c r="L561" s="24"/>
    </row>
    <row r="562" spans="1:12" ht="15" customHeight="1">
      <c r="A562" s="78"/>
      <c r="B562" s="79"/>
      <c r="C562" s="79"/>
      <c r="D562" s="79"/>
      <c r="E562" s="79"/>
      <c r="F562" s="79"/>
      <c r="G562" s="79"/>
      <c r="H562" s="79"/>
      <c r="J562" s="26"/>
      <c r="K562" s="24"/>
      <c r="L562" s="24"/>
    </row>
    <row r="563" spans="1:12" ht="15" customHeight="1">
      <c r="A563" s="78"/>
      <c r="B563" s="79"/>
      <c r="C563" s="79"/>
      <c r="D563" s="79"/>
      <c r="E563" s="79"/>
      <c r="F563" s="79"/>
      <c r="G563" s="79"/>
      <c r="H563" s="79"/>
      <c r="J563" s="26"/>
      <c r="K563" s="24"/>
      <c r="L563" s="24"/>
    </row>
    <row r="564" spans="1:12" ht="15" customHeight="1">
      <c r="A564" s="78"/>
      <c r="B564" s="79"/>
      <c r="C564" s="79"/>
      <c r="D564" s="79"/>
      <c r="E564" s="79"/>
      <c r="F564" s="79"/>
      <c r="G564" s="79"/>
      <c r="H564" s="79"/>
      <c r="J564" s="26"/>
      <c r="K564" s="24"/>
      <c r="L564" s="24"/>
    </row>
    <row r="565" spans="1:12" ht="15" customHeight="1">
      <c r="A565" s="78"/>
      <c r="B565" s="79"/>
      <c r="C565" s="79"/>
      <c r="D565" s="79"/>
      <c r="E565" s="79"/>
      <c r="F565" s="79"/>
      <c r="G565" s="79"/>
      <c r="H565" s="79"/>
      <c r="J565" s="26"/>
      <c r="K565" s="24"/>
      <c r="L565" s="24"/>
    </row>
    <row r="566" spans="1:12" ht="15" customHeight="1">
      <c r="A566" s="78"/>
      <c r="B566" s="79"/>
      <c r="C566" s="79"/>
      <c r="D566" s="79"/>
      <c r="E566" s="79"/>
      <c r="F566" s="79"/>
      <c r="G566" s="79"/>
      <c r="H566" s="79"/>
      <c r="J566" s="26"/>
      <c r="K566" s="24"/>
      <c r="L566" s="24"/>
    </row>
    <row r="567" spans="1:12" ht="15" customHeight="1">
      <c r="A567" s="78"/>
      <c r="B567" s="79"/>
      <c r="C567" s="79"/>
      <c r="D567" s="79"/>
      <c r="E567" s="79"/>
      <c r="F567" s="79"/>
      <c r="G567" s="79"/>
      <c r="H567" s="79"/>
      <c r="J567" s="26"/>
      <c r="K567" s="24"/>
      <c r="L567" s="24"/>
    </row>
    <row r="568" spans="1:12" ht="15" customHeight="1">
      <c r="A568" s="78"/>
      <c r="B568" s="79"/>
      <c r="C568" s="79"/>
      <c r="D568" s="79"/>
      <c r="E568" s="79"/>
      <c r="F568" s="79"/>
      <c r="G568" s="79"/>
      <c r="H568" s="79"/>
      <c r="J568" s="26"/>
      <c r="K568" s="24"/>
      <c r="L568" s="24"/>
    </row>
    <row r="569" spans="1:12" ht="15" customHeight="1">
      <c r="A569" s="78"/>
      <c r="B569" s="79"/>
      <c r="C569" s="79"/>
      <c r="D569" s="79"/>
      <c r="E569" s="79"/>
      <c r="F569" s="79"/>
      <c r="G569" s="79"/>
      <c r="H569" s="79"/>
      <c r="J569" s="26"/>
      <c r="K569" s="24"/>
      <c r="L569" s="24"/>
    </row>
    <row r="570" spans="1:12" ht="15" customHeight="1">
      <c r="A570" s="78"/>
      <c r="B570" s="79"/>
      <c r="C570" s="79"/>
      <c r="D570" s="79"/>
      <c r="E570" s="79"/>
      <c r="F570" s="79"/>
      <c r="G570" s="79"/>
      <c r="H570" s="79"/>
      <c r="J570" s="26"/>
      <c r="K570" s="24"/>
      <c r="L570" s="24"/>
    </row>
    <row r="571" spans="1:12" ht="15" customHeight="1">
      <c r="A571" s="78"/>
      <c r="B571" s="79"/>
      <c r="C571" s="79"/>
      <c r="D571" s="79"/>
      <c r="E571" s="79"/>
      <c r="F571" s="79"/>
      <c r="G571" s="79"/>
      <c r="H571" s="79"/>
      <c r="J571" s="26"/>
      <c r="K571" s="24"/>
      <c r="L571" s="24"/>
    </row>
    <row r="572" spans="1:12" ht="15" customHeight="1">
      <c r="A572" s="78"/>
      <c r="B572" s="79"/>
      <c r="C572" s="79"/>
      <c r="D572" s="79"/>
      <c r="E572" s="79"/>
      <c r="F572" s="79"/>
      <c r="G572" s="79"/>
      <c r="H572" s="79"/>
      <c r="J572" s="26"/>
      <c r="K572" s="24"/>
      <c r="L572" s="24"/>
    </row>
    <row r="573" spans="1:12" ht="15" customHeight="1">
      <c r="A573" s="78"/>
      <c r="B573" s="79"/>
      <c r="C573" s="79"/>
      <c r="D573" s="79"/>
      <c r="E573" s="79"/>
      <c r="F573" s="79"/>
      <c r="G573" s="79"/>
      <c r="H573" s="79"/>
      <c r="J573" s="26"/>
      <c r="K573" s="24"/>
      <c r="L573" s="24"/>
    </row>
    <row r="574" spans="1:12" ht="15" customHeight="1">
      <c r="A574" s="78"/>
      <c r="B574" s="79"/>
      <c r="C574" s="79"/>
      <c r="D574" s="79"/>
      <c r="E574" s="79"/>
      <c r="F574" s="79"/>
      <c r="G574" s="79"/>
      <c r="H574" s="79"/>
      <c r="J574" s="26"/>
      <c r="K574" s="24"/>
      <c r="L574" s="24"/>
    </row>
    <row r="575" spans="1:12" ht="15" customHeight="1">
      <c r="A575" s="78"/>
      <c r="B575" s="79"/>
      <c r="C575" s="79"/>
      <c r="D575" s="79"/>
      <c r="E575" s="79"/>
      <c r="F575" s="79"/>
      <c r="G575" s="79"/>
      <c r="H575" s="79"/>
      <c r="J575" s="26"/>
      <c r="K575" s="24"/>
      <c r="L575" s="24"/>
    </row>
    <row r="576" spans="1:12" ht="15" customHeight="1">
      <c r="A576" s="78"/>
      <c r="B576" s="79"/>
      <c r="C576" s="79"/>
      <c r="D576" s="79"/>
      <c r="E576" s="79"/>
      <c r="F576" s="79"/>
      <c r="G576" s="79"/>
      <c r="H576" s="79"/>
      <c r="J576" s="26"/>
      <c r="K576" s="24"/>
      <c r="L576" s="24"/>
    </row>
    <row r="577" spans="1:12" ht="15" customHeight="1">
      <c r="A577" s="78"/>
      <c r="B577" s="79"/>
      <c r="C577" s="79"/>
      <c r="D577" s="79"/>
      <c r="E577" s="79"/>
      <c r="F577" s="79"/>
      <c r="G577" s="79"/>
      <c r="H577" s="79"/>
      <c r="J577" s="26"/>
      <c r="K577" s="24"/>
      <c r="L577" s="24"/>
    </row>
    <row r="578" spans="1:12" ht="15" customHeight="1">
      <c r="A578" s="78"/>
      <c r="B578" s="79"/>
      <c r="C578" s="79"/>
      <c r="D578" s="79"/>
      <c r="E578" s="79"/>
      <c r="F578" s="79"/>
      <c r="G578" s="79"/>
      <c r="H578" s="79"/>
      <c r="J578" s="26"/>
      <c r="K578" s="24"/>
      <c r="L578" s="24"/>
    </row>
    <row r="579" spans="1:12" ht="15" customHeight="1">
      <c r="A579" s="78"/>
      <c r="B579" s="79"/>
      <c r="C579" s="79"/>
      <c r="D579" s="79"/>
      <c r="E579" s="79"/>
      <c r="F579" s="79"/>
      <c r="G579" s="79"/>
      <c r="H579" s="79"/>
      <c r="J579" s="26"/>
      <c r="K579" s="24"/>
      <c r="L579" s="24"/>
    </row>
    <row r="580" spans="1:12" ht="15" customHeight="1">
      <c r="A580" s="78"/>
      <c r="B580" s="79"/>
      <c r="C580" s="79"/>
      <c r="D580" s="79"/>
      <c r="E580" s="79"/>
      <c r="F580" s="79"/>
      <c r="G580" s="79"/>
      <c r="H580" s="79"/>
      <c r="J580" s="26"/>
      <c r="K580" s="24"/>
      <c r="L580" s="24"/>
    </row>
    <row r="581" spans="1:12" ht="15" customHeight="1">
      <c r="A581" s="78"/>
      <c r="B581" s="79"/>
      <c r="C581" s="79"/>
      <c r="D581" s="79"/>
      <c r="E581" s="79"/>
      <c r="F581" s="79"/>
      <c r="G581" s="79"/>
      <c r="H581" s="79"/>
      <c r="J581" s="26"/>
      <c r="K581" s="24"/>
      <c r="L581" s="24"/>
    </row>
    <row r="582" spans="1:12" ht="15" customHeight="1">
      <c r="A582" s="78"/>
      <c r="B582" s="79"/>
      <c r="C582" s="79"/>
      <c r="D582" s="79"/>
      <c r="E582" s="79"/>
      <c r="F582" s="79"/>
      <c r="G582" s="79"/>
      <c r="H582" s="79"/>
      <c r="J582" s="26"/>
      <c r="K582" s="24"/>
      <c r="L582" s="24"/>
    </row>
    <row r="583" spans="1:12" ht="15" customHeight="1">
      <c r="A583" s="78"/>
      <c r="B583" s="79"/>
      <c r="C583" s="79"/>
      <c r="D583" s="79"/>
      <c r="E583" s="79"/>
      <c r="F583" s="79"/>
      <c r="G583" s="79"/>
      <c r="H583" s="79"/>
      <c r="J583" s="26"/>
      <c r="K583" s="24"/>
      <c r="L583" s="24"/>
    </row>
    <row r="584" spans="1:12" ht="15" customHeight="1">
      <c r="A584" s="78"/>
      <c r="B584" s="79"/>
      <c r="C584" s="79"/>
      <c r="D584" s="79"/>
      <c r="E584" s="79"/>
      <c r="F584" s="79"/>
      <c r="G584" s="79"/>
      <c r="H584" s="79"/>
      <c r="J584" s="26"/>
      <c r="K584" s="24"/>
      <c r="L584" s="24"/>
    </row>
    <row r="585" spans="1:12" ht="15" customHeight="1">
      <c r="A585" s="78"/>
      <c r="B585" s="79"/>
      <c r="C585" s="79"/>
      <c r="D585" s="79"/>
      <c r="E585" s="79"/>
      <c r="F585" s="79"/>
      <c r="G585" s="79"/>
      <c r="H585" s="79"/>
      <c r="J585" s="26"/>
      <c r="K585" s="24"/>
      <c r="L585" s="24"/>
    </row>
    <row r="586" spans="1:12" ht="15" customHeight="1">
      <c r="A586" s="78"/>
      <c r="B586" s="79"/>
      <c r="C586" s="79"/>
      <c r="D586" s="79"/>
      <c r="E586" s="79"/>
      <c r="F586" s="79"/>
      <c r="G586" s="79"/>
      <c r="H586" s="79"/>
      <c r="J586" s="26"/>
      <c r="K586" s="24"/>
      <c r="L586" s="24"/>
    </row>
    <row r="587" spans="1:12" ht="15" customHeight="1">
      <c r="A587" s="78"/>
      <c r="B587" s="79"/>
      <c r="C587" s="79"/>
      <c r="D587" s="79"/>
      <c r="E587" s="79"/>
      <c r="F587" s="79"/>
      <c r="G587" s="79"/>
      <c r="H587" s="79"/>
      <c r="J587" s="26"/>
      <c r="K587" s="24"/>
      <c r="L587" s="24"/>
    </row>
    <row r="588" spans="1:12" ht="15" customHeight="1">
      <c r="A588" s="78"/>
      <c r="B588" s="79"/>
      <c r="C588" s="79"/>
      <c r="D588" s="79"/>
      <c r="E588" s="79"/>
      <c r="F588" s="79"/>
      <c r="G588" s="79"/>
      <c r="H588" s="79"/>
      <c r="J588" s="26"/>
      <c r="K588" s="24"/>
      <c r="L588" s="24"/>
    </row>
    <row r="589" spans="1:12" ht="15" customHeight="1">
      <c r="A589" s="78"/>
      <c r="B589" s="79"/>
      <c r="C589" s="79"/>
      <c r="D589" s="79"/>
      <c r="E589" s="79"/>
      <c r="F589" s="79"/>
      <c r="G589" s="79"/>
      <c r="H589" s="79"/>
      <c r="J589" s="26"/>
      <c r="K589" s="24"/>
      <c r="L589" s="24"/>
    </row>
    <row r="590" spans="1:12" ht="15" customHeight="1">
      <c r="A590" s="78"/>
      <c r="B590" s="79"/>
      <c r="C590" s="79"/>
      <c r="D590" s="79"/>
      <c r="E590" s="79"/>
      <c r="F590" s="79"/>
      <c r="G590" s="79"/>
      <c r="H590" s="79"/>
      <c r="J590" s="26"/>
      <c r="K590" s="24"/>
      <c r="L590" s="24"/>
    </row>
    <row r="591" spans="1:12" ht="15" customHeight="1">
      <c r="A591" s="78"/>
      <c r="B591" s="79"/>
      <c r="C591" s="79"/>
      <c r="D591" s="79"/>
      <c r="E591" s="79"/>
      <c r="F591" s="79"/>
      <c r="G591" s="79"/>
      <c r="H591" s="79"/>
      <c r="J591" s="26"/>
      <c r="K591" s="24"/>
      <c r="L591" s="24"/>
    </row>
    <row r="592" spans="1:12" ht="15" customHeight="1">
      <c r="A592" s="78"/>
      <c r="B592" s="79"/>
      <c r="C592" s="79"/>
      <c r="D592" s="79"/>
      <c r="E592" s="79"/>
      <c r="F592" s="79"/>
      <c r="G592" s="79"/>
      <c r="H592" s="79"/>
      <c r="J592" s="26"/>
      <c r="K592" s="24"/>
      <c r="L592" s="24"/>
    </row>
    <row r="593" spans="1:12" ht="15" customHeight="1">
      <c r="A593" s="78"/>
      <c r="B593" s="79"/>
      <c r="C593" s="79"/>
      <c r="D593" s="79"/>
      <c r="E593" s="79"/>
      <c r="F593" s="79"/>
      <c r="G593" s="79"/>
      <c r="H593" s="79"/>
      <c r="J593" s="26"/>
      <c r="K593" s="24"/>
      <c r="L593" s="24"/>
    </row>
    <row r="594" spans="1:12" ht="15" customHeight="1">
      <c r="A594" s="78"/>
      <c r="B594" s="79"/>
      <c r="C594" s="79"/>
      <c r="D594" s="79"/>
      <c r="E594" s="79"/>
      <c r="F594" s="79"/>
      <c r="G594" s="79"/>
      <c r="H594" s="79"/>
      <c r="J594" s="26"/>
      <c r="K594" s="24"/>
      <c r="L594" s="24"/>
    </row>
    <row r="595" spans="1:12" ht="15" customHeight="1">
      <c r="A595" s="78"/>
      <c r="B595" s="79"/>
      <c r="C595" s="79"/>
      <c r="D595" s="79"/>
      <c r="E595" s="79"/>
      <c r="F595" s="79"/>
      <c r="G595" s="79"/>
      <c r="H595" s="79"/>
      <c r="J595" s="26"/>
      <c r="K595" s="24"/>
      <c r="L595" s="24"/>
    </row>
    <row r="596" spans="1:12" ht="15" customHeight="1">
      <c r="A596" s="78"/>
      <c r="B596" s="79"/>
      <c r="C596" s="79"/>
      <c r="D596" s="79"/>
      <c r="E596" s="79"/>
      <c r="F596" s="79"/>
      <c r="G596" s="79"/>
      <c r="H596" s="79"/>
      <c r="J596" s="26"/>
      <c r="K596" s="24"/>
      <c r="L596" s="24"/>
    </row>
    <row r="597" spans="1:12" ht="15" customHeight="1">
      <c r="A597" s="78"/>
      <c r="B597" s="79"/>
      <c r="C597" s="79"/>
      <c r="D597" s="79"/>
      <c r="E597" s="79"/>
      <c r="F597" s="79"/>
      <c r="G597" s="79"/>
      <c r="H597" s="79"/>
      <c r="J597" s="26"/>
      <c r="K597" s="24"/>
      <c r="L597" s="24"/>
    </row>
    <row r="598" spans="1:12" ht="15" customHeight="1">
      <c r="A598" s="78"/>
      <c r="B598" s="79"/>
      <c r="C598" s="79"/>
      <c r="D598" s="79"/>
      <c r="E598" s="79"/>
      <c r="F598" s="79"/>
      <c r="G598" s="79"/>
      <c r="H598" s="79"/>
      <c r="J598" s="26"/>
      <c r="K598" s="24"/>
      <c r="L598" s="24"/>
    </row>
    <row r="599" spans="1:12" ht="15" customHeight="1">
      <c r="A599" s="78"/>
      <c r="B599" s="79"/>
      <c r="C599" s="79"/>
      <c r="D599" s="79"/>
      <c r="E599" s="79"/>
      <c r="F599" s="79"/>
      <c r="G599" s="79"/>
      <c r="H599" s="79"/>
      <c r="J599" s="26"/>
      <c r="K599" s="24"/>
      <c r="L599" s="24"/>
    </row>
    <row r="600" spans="1:12" ht="15" customHeight="1">
      <c r="A600" s="78"/>
      <c r="B600" s="79"/>
      <c r="C600" s="79"/>
      <c r="D600" s="79"/>
      <c r="E600" s="79"/>
      <c r="F600" s="79"/>
      <c r="G600" s="79"/>
      <c r="H600" s="79"/>
      <c r="J600" s="26"/>
      <c r="K600" s="24"/>
      <c r="L600" s="24"/>
    </row>
    <row r="601" spans="1:12" ht="15">
      <c r="A601" s="78"/>
      <c r="B601" s="79"/>
      <c r="C601" s="79"/>
      <c r="D601" s="79"/>
      <c r="E601" s="79"/>
      <c r="F601" s="79"/>
      <c r="G601" s="79"/>
      <c r="H601" s="79"/>
      <c r="J601" s="25"/>
      <c r="K601" s="25"/>
    </row>
    <row r="602" spans="1:12" ht="15">
      <c r="A602" s="78"/>
      <c r="B602" s="79"/>
      <c r="C602" s="79"/>
      <c r="D602" s="79"/>
      <c r="E602" s="79"/>
      <c r="F602" s="79"/>
      <c r="G602" s="79"/>
      <c r="H602" s="79"/>
      <c r="J602" s="25"/>
      <c r="K602" s="25"/>
    </row>
    <row r="603" spans="1:12" ht="15">
      <c r="A603" s="78"/>
      <c r="B603" s="79"/>
      <c r="C603" s="79"/>
      <c r="D603" s="79"/>
      <c r="E603" s="79"/>
      <c r="F603" s="79"/>
      <c r="G603" s="79"/>
      <c r="H603" s="79"/>
      <c r="J603" s="25"/>
      <c r="K603" s="25"/>
    </row>
    <row r="604" spans="1:12" ht="15">
      <c r="A604" s="78"/>
      <c r="B604" s="79"/>
      <c r="C604" s="79"/>
      <c r="D604" s="79"/>
      <c r="E604" s="79"/>
      <c r="F604" s="79"/>
      <c r="G604" s="79"/>
      <c r="H604" s="79"/>
      <c r="J604" s="25"/>
      <c r="K604" s="25"/>
    </row>
    <row r="605" spans="1:12" ht="15">
      <c r="A605" s="78"/>
      <c r="B605" s="79"/>
      <c r="C605" s="79"/>
      <c r="D605" s="79"/>
      <c r="E605" s="79"/>
      <c r="F605" s="79"/>
      <c r="G605" s="79"/>
      <c r="H605" s="79"/>
      <c r="J605" s="25"/>
      <c r="K605" s="25"/>
    </row>
    <row r="606" spans="1:12" ht="15">
      <c r="A606" s="78"/>
      <c r="B606" s="79"/>
      <c r="C606" s="79"/>
      <c r="D606" s="79"/>
      <c r="E606" s="79"/>
      <c r="F606" s="79"/>
      <c r="G606" s="79"/>
      <c r="H606" s="79"/>
      <c r="J606" s="25"/>
      <c r="K606" s="25"/>
    </row>
    <row r="607" spans="1:12" ht="15">
      <c r="A607" s="78"/>
      <c r="B607" s="79"/>
      <c r="C607" s="79"/>
      <c r="D607" s="79"/>
      <c r="E607" s="79"/>
      <c r="F607" s="79"/>
      <c r="G607" s="79"/>
      <c r="H607" s="79"/>
      <c r="J607" s="25"/>
      <c r="K607" s="25"/>
    </row>
    <row r="608" spans="1:12" ht="15">
      <c r="A608" s="78"/>
      <c r="B608" s="79"/>
      <c r="C608" s="79"/>
      <c r="D608" s="79"/>
      <c r="E608" s="79"/>
      <c r="F608" s="79"/>
      <c r="G608" s="79"/>
      <c r="H608" s="79"/>
      <c r="J608" s="25"/>
      <c r="K608" s="25"/>
    </row>
    <row r="609" spans="1:11" ht="15">
      <c r="A609" s="78"/>
      <c r="B609" s="79"/>
      <c r="C609" s="79"/>
      <c r="D609" s="79"/>
      <c r="E609" s="79"/>
      <c r="F609" s="79"/>
      <c r="G609" s="79"/>
      <c r="H609" s="79"/>
      <c r="J609" s="25"/>
      <c r="K609" s="25"/>
    </row>
    <row r="610" spans="1:11" ht="15">
      <c r="A610" s="78"/>
      <c r="B610" s="79"/>
      <c r="C610" s="79"/>
      <c r="D610" s="79"/>
      <c r="E610" s="79"/>
      <c r="F610" s="79"/>
      <c r="G610" s="79"/>
      <c r="H610" s="79"/>
      <c r="J610" s="25"/>
      <c r="K610" s="25"/>
    </row>
    <row r="611" spans="1:11" ht="15">
      <c r="A611" s="78"/>
      <c r="B611" s="79"/>
      <c r="C611" s="79"/>
      <c r="D611" s="79"/>
      <c r="E611" s="79"/>
      <c r="F611" s="79"/>
      <c r="G611" s="79"/>
      <c r="H611" s="79"/>
      <c r="J611" s="25"/>
      <c r="K611" s="25"/>
    </row>
    <row r="612" spans="1:11" ht="15">
      <c r="A612" s="78"/>
      <c r="B612" s="79"/>
      <c r="C612" s="79"/>
      <c r="D612" s="79"/>
      <c r="E612" s="79"/>
      <c r="F612" s="79"/>
      <c r="G612" s="79"/>
      <c r="H612" s="79"/>
      <c r="J612" s="25"/>
      <c r="K612" s="25"/>
    </row>
    <row r="613" spans="1:11" ht="15">
      <c r="A613" s="78"/>
      <c r="B613" s="79"/>
      <c r="C613" s="79"/>
      <c r="D613" s="79"/>
      <c r="E613" s="79"/>
      <c r="F613" s="79"/>
      <c r="G613" s="79"/>
      <c r="H613" s="79"/>
      <c r="J613" s="25"/>
      <c r="K613" s="25"/>
    </row>
    <row r="614" spans="1:11" ht="15">
      <c r="A614" s="78"/>
      <c r="B614" s="79"/>
      <c r="C614" s="79"/>
      <c r="D614" s="79"/>
      <c r="E614" s="79"/>
      <c r="F614" s="79"/>
      <c r="G614" s="79"/>
      <c r="H614" s="79"/>
      <c r="J614" s="25"/>
      <c r="K614" s="25"/>
    </row>
    <row r="615" spans="1:11" ht="15">
      <c r="A615" s="78"/>
      <c r="B615" s="79"/>
      <c r="C615" s="79"/>
      <c r="D615" s="79"/>
      <c r="E615" s="79"/>
      <c r="F615" s="79"/>
      <c r="G615" s="79"/>
      <c r="H615" s="79"/>
      <c r="J615" s="25"/>
      <c r="K615" s="25"/>
    </row>
    <row r="616" spans="1:11" ht="15">
      <c r="A616" s="78"/>
      <c r="B616" s="79"/>
      <c r="C616" s="79"/>
      <c r="D616" s="79"/>
      <c r="E616" s="79"/>
      <c r="F616" s="79"/>
      <c r="G616" s="79"/>
      <c r="H616" s="79"/>
      <c r="J616" s="25"/>
      <c r="K616" s="25"/>
    </row>
    <row r="617" spans="1:11" ht="15">
      <c r="A617" s="78"/>
      <c r="B617" s="79"/>
      <c r="C617" s="79"/>
      <c r="D617" s="79"/>
      <c r="E617" s="79"/>
      <c r="F617" s="79"/>
      <c r="G617" s="79"/>
      <c r="H617" s="79"/>
      <c r="J617" s="25"/>
      <c r="K617" s="25"/>
    </row>
    <row r="618" spans="1:11" ht="15">
      <c r="A618" s="78"/>
      <c r="B618" s="79"/>
      <c r="C618" s="79"/>
      <c r="D618" s="79"/>
      <c r="E618" s="79"/>
      <c r="F618" s="79"/>
      <c r="G618" s="79"/>
      <c r="H618" s="79"/>
      <c r="J618" s="25"/>
      <c r="K618" s="25"/>
    </row>
    <row r="619" spans="1:11" ht="15">
      <c r="A619" s="78"/>
      <c r="B619" s="79"/>
      <c r="C619" s="79"/>
      <c r="D619" s="79"/>
      <c r="E619" s="79"/>
      <c r="F619" s="79"/>
      <c r="G619" s="79"/>
      <c r="H619" s="79"/>
      <c r="J619" s="25"/>
      <c r="K619" s="25"/>
    </row>
    <row r="620" spans="1:11" ht="15">
      <c r="A620" s="78"/>
      <c r="B620" s="79"/>
      <c r="C620" s="79"/>
      <c r="D620" s="79"/>
      <c r="E620" s="79"/>
      <c r="F620" s="79"/>
      <c r="G620" s="79"/>
      <c r="H620" s="79"/>
      <c r="J620" s="25"/>
      <c r="K620" s="25"/>
    </row>
    <row r="621" spans="1:11" ht="15">
      <c r="A621" s="78"/>
      <c r="B621" s="79"/>
      <c r="C621" s="79"/>
      <c r="D621" s="79"/>
      <c r="E621" s="79"/>
      <c r="F621" s="79"/>
      <c r="G621" s="79"/>
      <c r="H621" s="79"/>
      <c r="J621" s="25"/>
      <c r="K621" s="25"/>
    </row>
    <row r="622" spans="1:11" ht="15">
      <c r="A622" s="78"/>
      <c r="B622" s="79"/>
      <c r="C622" s="79"/>
      <c r="D622" s="79"/>
      <c r="E622" s="79"/>
      <c r="F622" s="79"/>
      <c r="G622" s="79"/>
      <c r="H622" s="79"/>
      <c r="J622" s="25"/>
      <c r="K622" s="25"/>
    </row>
    <row r="623" spans="1:11" ht="15">
      <c r="A623" s="78"/>
      <c r="B623" s="79"/>
      <c r="C623" s="79"/>
      <c r="D623" s="79"/>
      <c r="E623" s="79"/>
      <c r="F623" s="79"/>
      <c r="G623" s="79"/>
      <c r="H623" s="79"/>
      <c r="J623" s="25"/>
      <c r="K623" s="25"/>
    </row>
    <row r="624" spans="1:11" ht="15">
      <c r="A624" s="78"/>
      <c r="B624" s="79"/>
      <c r="C624" s="79"/>
      <c r="D624" s="79"/>
      <c r="E624" s="79"/>
      <c r="F624" s="79"/>
      <c r="G624" s="79"/>
      <c r="H624" s="79"/>
      <c r="J624" s="25"/>
      <c r="K624" s="25"/>
    </row>
    <row r="625" spans="1:11" ht="15">
      <c r="A625" s="78"/>
      <c r="B625" s="79"/>
      <c r="C625" s="79"/>
      <c r="D625" s="79"/>
      <c r="E625" s="79"/>
      <c r="F625" s="79"/>
      <c r="G625" s="79"/>
      <c r="H625" s="79"/>
      <c r="J625" s="25"/>
      <c r="K625" s="25"/>
    </row>
    <row r="626" spans="1:11" ht="15">
      <c r="A626" s="78"/>
      <c r="B626" s="79"/>
      <c r="C626" s="79"/>
      <c r="D626" s="79"/>
      <c r="E626" s="79"/>
      <c r="F626" s="79"/>
      <c r="G626" s="79"/>
      <c r="H626" s="79"/>
      <c r="J626" s="25"/>
      <c r="K626" s="25"/>
    </row>
    <row r="627" spans="1:11" ht="15">
      <c r="A627" s="78"/>
      <c r="B627" s="79"/>
      <c r="C627" s="79"/>
      <c r="D627" s="79"/>
      <c r="E627" s="79"/>
      <c r="F627" s="79"/>
      <c r="G627" s="79"/>
      <c r="H627" s="79"/>
      <c r="J627" s="25"/>
      <c r="K627" s="25"/>
    </row>
    <row r="628" spans="1:11" ht="15">
      <c r="A628" s="78"/>
      <c r="B628" s="79"/>
      <c r="C628" s="79"/>
      <c r="D628" s="79"/>
      <c r="E628" s="79"/>
      <c r="F628" s="79"/>
      <c r="G628" s="79"/>
      <c r="H628" s="79"/>
      <c r="J628" s="25"/>
      <c r="K628" s="25"/>
    </row>
    <row r="629" spans="1:11" ht="15">
      <c r="A629" s="78"/>
      <c r="B629" s="79"/>
      <c r="C629" s="79"/>
      <c r="D629" s="79"/>
      <c r="E629" s="79"/>
      <c r="F629" s="79"/>
      <c r="G629" s="79"/>
      <c r="H629" s="79"/>
      <c r="J629" s="25"/>
      <c r="K629" s="25"/>
    </row>
    <row r="630" spans="1:11" ht="15">
      <c r="A630" s="78"/>
      <c r="B630" s="79"/>
      <c r="C630" s="79"/>
      <c r="D630" s="79"/>
      <c r="E630" s="79"/>
      <c r="F630" s="79"/>
      <c r="G630" s="79"/>
      <c r="H630" s="79"/>
      <c r="J630" s="25"/>
      <c r="K630" s="25"/>
    </row>
    <row r="631" spans="1:11" ht="15">
      <c r="A631" s="78"/>
      <c r="B631" s="79"/>
      <c r="C631" s="79"/>
      <c r="D631" s="79"/>
      <c r="E631" s="79"/>
      <c r="F631" s="79"/>
      <c r="G631" s="79"/>
      <c r="H631" s="79"/>
      <c r="J631" s="25"/>
      <c r="K631" s="25"/>
    </row>
    <row r="632" spans="1:11" ht="15">
      <c r="A632" s="78"/>
      <c r="B632" s="79"/>
      <c r="C632" s="79"/>
      <c r="D632" s="79"/>
      <c r="E632" s="79"/>
      <c r="F632" s="79"/>
      <c r="G632" s="79"/>
      <c r="H632" s="79"/>
      <c r="J632" s="25"/>
      <c r="K632" s="25"/>
    </row>
    <row r="633" spans="1:11" ht="15">
      <c r="A633" s="78"/>
      <c r="B633" s="79"/>
      <c r="C633" s="79"/>
      <c r="D633" s="79"/>
      <c r="E633" s="79"/>
      <c r="F633" s="79"/>
      <c r="G633" s="79"/>
      <c r="H633" s="79"/>
      <c r="J633" s="25"/>
      <c r="K633" s="25"/>
    </row>
    <row r="634" spans="1:11" ht="15">
      <c r="A634" s="78"/>
      <c r="B634" s="79"/>
      <c r="C634" s="79"/>
      <c r="D634" s="79"/>
      <c r="E634" s="79"/>
      <c r="F634" s="79"/>
      <c r="G634" s="79"/>
      <c r="H634" s="79"/>
      <c r="J634" s="25"/>
      <c r="K634" s="25"/>
    </row>
    <row r="635" spans="1:11" ht="15">
      <c r="A635" s="78"/>
      <c r="B635" s="79"/>
      <c r="C635" s="79"/>
      <c r="D635" s="79"/>
      <c r="E635" s="79"/>
      <c r="F635" s="79"/>
      <c r="G635" s="79"/>
      <c r="H635" s="79"/>
      <c r="J635" s="25"/>
      <c r="K635" s="25"/>
    </row>
    <row r="636" spans="1:11" ht="15">
      <c r="A636" s="78"/>
      <c r="B636" s="79"/>
      <c r="C636" s="79"/>
      <c r="D636" s="79"/>
      <c r="E636" s="79"/>
      <c r="F636" s="79"/>
      <c r="G636" s="79"/>
      <c r="H636" s="79"/>
      <c r="J636" s="25"/>
      <c r="K636" s="25"/>
    </row>
    <row r="637" spans="1:11" ht="15">
      <c r="A637" s="78"/>
      <c r="B637" s="79"/>
      <c r="C637" s="79"/>
      <c r="D637" s="79"/>
      <c r="E637" s="79"/>
      <c r="F637" s="79"/>
      <c r="G637" s="79"/>
      <c r="H637" s="79"/>
      <c r="J637" s="25"/>
      <c r="K637" s="25"/>
    </row>
    <row r="638" spans="1:11" ht="15">
      <c r="A638" s="78"/>
      <c r="B638" s="79"/>
      <c r="C638" s="79"/>
      <c r="D638" s="79"/>
      <c r="E638" s="79"/>
      <c r="F638" s="79"/>
      <c r="G638" s="79"/>
      <c r="H638" s="79"/>
      <c r="J638" s="25"/>
      <c r="K638" s="25"/>
    </row>
    <row r="639" spans="1:11" ht="15">
      <c r="A639" s="78"/>
      <c r="B639" s="79"/>
      <c r="C639" s="79"/>
      <c r="D639" s="79"/>
      <c r="E639" s="79"/>
      <c r="F639" s="79"/>
      <c r="G639" s="79"/>
      <c r="H639" s="79"/>
      <c r="J639" s="25"/>
      <c r="K639" s="25"/>
    </row>
    <row r="640" spans="1:11" ht="15">
      <c r="A640" s="78"/>
      <c r="B640" s="79"/>
      <c r="C640" s="79"/>
      <c r="D640" s="79"/>
      <c r="E640" s="79"/>
      <c r="F640" s="79"/>
      <c r="G640" s="79"/>
      <c r="H640" s="79"/>
      <c r="J640" s="25"/>
      <c r="K640" s="25"/>
    </row>
    <row r="641" spans="1:11" ht="15">
      <c r="A641" s="78"/>
      <c r="B641" s="79"/>
      <c r="C641" s="79"/>
      <c r="D641" s="79"/>
      <c r="E641" s="79"/>
      <c r="F641" s="79"/>
      <c r="G641" s="79"/>
      <c r="H641" s="79"/>
      <c r="J641" s="25"/>
      <c r="K641" s="25"/>
    </row>
    <row r="642" spans="1:11" ht="15">
      <c r="A642" s="78"/>
      <c r="B642" s="79"/>
      <c r="C642" s="79"/>
      <c r="D642" s="79"/>
      <c r="E642" s="79"/>
      <c r="F642" s="79"/>
      <c r="G642" s="79"/>
      <c r="H642" s="79"/>
      <c r="J642" s="25"/>
      <c r="K642" s="25"/>
    </row>
    <row r="643" spans="1:11" ht="15">
      <c r="A643" s="78"/>
      <c r="B643" s="79"/>
      <c r="C643" s="79"/>
      <c r="D643" s="79"/>
      <c r="E643" s="79"/>
      <c r="F643" s="79"/>
      <c r="G643" s="79"/>
      <c r="H643" s="79"/>
      <c r="J643" s="25"/>
      <c r="K643" s="25"/>
    </row>
    <row r="644" spans="1:11" ht="15">
      <c r="A644" s="78"/>
      <c r="B644" s="79"/>
      <c r="C644" s="79"/>
      <c r="D644" s="79"/>
      <c r="E644" s="79"/>
      <c r="F644" s="79"/>
      <c r="G644" s="79"/>
      <c r="H644" s="79"/>
      <c r="J644" s="25"/>
      <c r="K644" s="25"/>
    </row>
    <row r="645" spans="1:11" ht="15">
      <c r="A645" s="78"/>
      <c r="B645" s="79"/>
      <c r="C645" s="79"/>
      <c r="D645" s="79"/>
      <c r="E645" s="79"/>
      <c r="F645" s="79"/>
      <c r="G645" s="79"/>
      <c r="H645" s="79"/>
      <c r="J645" s="25"/>
      <c r="K645" s="25"/>
    </row>
    <row r="646" spans="1:11" ht="15">
      <c r="A646" s="78"/>
      <c r="B646" s="79"/>
      <c r="C646" s="79"/>
      <c r="D646" s="79"/>
      <c r="E646" s="79"/>
      <c r="F646" s="79"/>
      <c r="G646" s="79"/>
      <c r="H646" s="79"/>
      <c r="J646" s="25"/>
      <c r="K646" s="25"/>
    </row>
    <row r="647" spans="1:11" ht="15">
      <c r="A647" s="78"/>
      <c r="B647" s="79"/>
      <c r="C647" s="79"/>
      <c r="D647" s="79"/>
      <c r="E647" s="79"/>
      <c r="F647" s="79"/>
      <c r="G647" s="79"/>
      <c r="H647" s="79"/>
      <c r="J647" s="25"/>
      <c r="K647" s="25"/>
    </row>
    <row r="648" spans="1:11" ht="15">
      <c r="A648" s="78"/>
      <c r="B648" s="79"/>
      <c r="C648" s="79"/>
      <c r="D648" s="79"/>
      <c r="E648" s="79"/>
      <c r="F648" s="79"/>
      <c r="G648" s="79"/>
      <c r="H648" s="79"/>
      <c r="J648" s="25"/>
      <c r="K648" s="25"/>
    </row>
    <row r="649" spans="1:11" ht="15">
      <c r="A649" s="78"/>
      <c r="B649" s="79"/>
      <c r="C649" s="79"/>
      <c r="D649" s="79"/>
      <c r="E649" s="79"/>
      <c r="F649" s="79"/>
      <c r="G649" s="79"/>
      <c r="H649" s="79"/>
      <c r="J649" s="25"/>
      <c r="K649" s="25"/>
    </row>
    <row r="650" spans="1:11" ht="15">
      <c r="A650" s="78"/>
      <c r="B650" s="79"/>
      <c r="C650" s="79"/>
      <c r="D650" s="79"/>
      <c r="E650" s="79"/>
      <c r="F650" s="79"/>
      <c r="G650" s="79"/>
      <c r="H650" s="79"/>
      <c r="J650" s="25"/>
      <c r="K650" s="25"/>
    </row>
    <row r="651" spans="1:11" ht="15">
      <c r="A651" s="78"/>
      <c r="B651" s="79"/>
      <c r="C651" s="79"/>
      <c r="D651" s="79"/>
      <c r="E651" s="79"/>
      <c r="F651" s="79"/>
      <c r="G651" s="79"/>
      <c r="H651" s="79"/>
      <c r="J651" s="25"/>
      <c r="K651" s="25"/>
    </row>
    <row r="652" spans="1:11" ht="15">
      <c r="A652" s="78"/>
      <c r="B652" s="79"/>
      <c r="C652" s="79"/>
      <c r="D652" s="79"/>
      <c r="E652" s="79"/>
      <c r="F652" s="79"/>
      <c r="G652" s="79"/>
      <c r="H652" s="79"/>
      <c r="J652" s="25"/>
      <c r="K652" s="25"/>
    </row>
    <row r="653" spans="1:11" ht="15">
      <c r="A653" s="78"/>
      <c r="B653" s="79"/>
      <c r="C653" s="79"/>
      <c r="D653" s="79"/>
      <c r="E653" s="79"/>
      <c r="F653" s="79"/>
      <c r="G653" s="79"/>
      <c r="H653" s="79"/>
      <c r="J653" s="25"/>
      <c r="K653" s="25"/>
    </row>
    <row r="654" spans="1:11" ht="15">
      <c r="A654" s="78"/>
      <c r="B654" s="79"/>
      <c r="C654" s="79"/>
      <c r="D654" s="79"/>
      <c r="E654" s="79"/>
      <c r="F654" s="79"/>
      <c r="G654" s="79"/>
      <c r="H654" s="79"/>
      <c r="J654" s="25"/>
      <c r="K654" s="25"/>
    </row>
    <row r="655" spans="1:11" ht="15">
      <c r="A655" s="78"/>
      <c r="B655" s="79"/>
      <c r="C655" s="79"/>
      <c r="D655" s="79"/>
      <c r="E655" s="79"/>
      <c r="F655" s="79"/>
      <c r="G655" s="79"/>
      <c r="H655" s="79"/>
      <c r="J655" s="25"/>
      <c r="K655" s="25"/>
    </row>
    <row r="656" spans="1:11" ht="15">
      <c r="A656" s="78"/>
      <c r="B656" s="79"/>
      <c r="C656" s="79"/>
      <c r="D656" s="79"/>
      <c r="E656" s="79"/>
      <c r="F656" s="79"/>
      <c r="G656" s="79"/>
      <c r="H656" s="79"/>
      <c r="J656" s="25"/>
      <c r="K656" s="25"/>
    </row>
    <row r="657" spans="1:11" ht="15">
      <c r="A657" s="78"/>
      <c r="B657" s="79"/>
      <c r="C657" s="79"/>
      <c r="D657" s="79"/>
      <c r="E657" s="79"/>
      <c r="F657" s="79"/>
      <c r="G657" s="79"/>
      <c r="H657" s="79"/>
      <c r="J657" s="25"/>
      <c r="K657" s="25"/>
    </row>
    <row r="658" spans="1:11" ht="15">
      <c r="A658" s="78"/>
      <c r="B658" s="79"/>
      <c r="C658" s="79"/>
      <c r="D658" s="79"/>
      <c r="E658" s="79"/>
      <c r="F658" s="79"/>
      <c r="G658" s="79"/>
      <c r="H658" s="79"/>
      <c r="J658" s="25"/>
      <c r="K658" s="25"/>
    </row>
    <row r="659" spans="1:11" ht="15">
      <c r="A659" s="78"/>
      <c r="B659" s="79"/>
      <c r="C659" s="79"/>
      <c r="D659" s="79"/>
      <c r="E659" s="79"/>
      <c r="F659" s="79"/>
      <c r="G659" s="79"/>
      <c r="H659" s="79"/>
      <c r="J659" s="25"/>
      <c r="K659" s="25"/>
    </row>
    <row r="660" spans="1:11" ht="15">
      <c r="A660" s="78"/>
      <c r="B660" s="79"/>
      <c r="C660" s="79"/>
      <c r="D660" s="79"/>
      <c r="E660" s="79"/>
      <c r="F660" s="79"/>
      <c r="G660" s="79"/>
      <c r="H660" s="79"/>
      <c r="J660" s="25"/>
      <c r="K660" s="25"/>
    </row>
    <row r="661" spans="1:11" ht="15">
      <c r="A661" s="78"/>
      <c r="B661" s="79"/>
      <c r="C661" s="79"/>
      <c r="D661" s="79"/>
      <c r="E661" s="79"/>
      <c r="F661" s="79"/>
      <c r="G661" s="79"/>
      <c r="H661" s="79"/>
      <c r="J661" s="25"/>
      <c r="K661" s="25"/>
    </row>
    <row r="662" spans="1:11" ht="15">
      <c r="A662" s="78"/>
      <c r="B662" s="79"/>
      <c r="C662" s="79"/>
      <c r="D662" s="79"/>
      <c r="E662" s="79"/>
      <c r="F662" s="79"/>
      <c r="G662" s="79"/>
      <c r="H662" s="79"/>
      <c r="J662" s="25"/>
      <c r="K662" s="25"/>
    </row>
    <row r="663" spans="1:11" ht="15">
      <c r="A663" s="78"/>
      <c r="B663" s="79"/>
      <c r="C663" s="79"/>
      <c r="D663" s="79"/>
      <c r="E663" s="79"/>
      <c r="F663" s="79"/>
      <c r="G663" s="79"/>
      <c r="H663" s="79"/>
      <c r="J663" s="25"/>
      <c r="K663" s="25"/>
    </row>
    <row r="664" spans="1:11" ht="15">
      <c r="A664" s="78"/>
      <c r="B664" s="79"/>
      <c r="C664" s="79"/>
      <c r="D664" s="79"/>
      <c r="E664" s="79"/>
      <c r="F664" s="79"/>
      <c r="G664" s="79"/>
      <c r="H664" s="79"/>
      <c r="J664" s="25"/>
      <c r="K664" s="25"/>
    </row>
    <row r="665" spans="1:11" ht="15">
      <c r="A665" s="78"/>
      <c r="B665" s="79"/>
      <c r="C665" s="79"/>
      <c r="D665" s="79"/>
      <c r="E665" s="79"/>
      <c r="F665" s="79"/>
      <c r="G665" s="79"/>
      <c r="H665" s="79"/>
      <c r="J665" s="25"/>
      <c r="K665" s="25"/>
    </row>
    <row r="666" spans="1:11" ht="15">
      <c r="A666" s="78"/>
      <c r="B666" s="79"/>
      <c r="C666" s="79"/>
      <c r="D666" s="79"/>
      <c r="E666" s="79"/>
      <c r="F666" s="79"/>
      <c r="G666" s="79"/>
      <c r="H666" s="79"/>
      <c r="J666" s="25"/>
      <c r="K666" s="25"/>
    </row>
    <row r="667" spans="1:11" ht="15">
      <c r="A667" s="78"/>
      <c r="B667" s="79"/>
      <c r="C667" s="79"/>
      <c r="D667" s="79"/>
      <c r="E667" s="79"/>
      <c r="F667" s="79"/>
      <c r="G667" s="79"/>
      <c r="H667" s="79"/>
      <c r="J667" s="25"/>
      <c r="K667" s="25"/>
    </row>
    <row r="668" spans="1:11" ht="15">
      <c r="A668" s="78"/>
      <c r="B668" s="79"/>
      <c r="C668" s="79"/>
      <c r="D668" s="79"/>
      <c r="E668" s="79"/>
      <c r="F668" s="79"/>
      <c r="G668" s="79"/>
      <c r="H668" s="79"/>
      <c r="J668" s="25"/>
      <c r="K668" s="25"/>
    </row>
    <row r="669" spans="1:11" ht="15">
      <c r="A669" s="78"/>
      <c r="B669" s="79"/>
      <c r="C669" s="79"/>
      <c r="D669" s="79"/>
      <c r="E669" s="79"/>
      <c r="F669" s="79"/>
      <c r="G669" s="79"/>
      <c r="H669" s="79"/>
      <c r="J669" s="25"/>
      <c r="K669" s="25"/>
    </row>
    <row r="670" spans="1:11" ht="15">
      <c r="A670" s="78"/>
      <c r="B670" s="79"/>
      <c r="C670" s="79"/>
      <c r="D670" s="79"/>
      <c r="E670" s="79"/>
      <c r="F670" s="79"/>
      <c r="G670" s="79"/>
      <c r="H670" s="79"/>
      <c r="J670" s="25"/>
      <c r="K670" s="25"/>
    </row>
    <row r="671" spans="1:11" ht="15">
      <c r="A671" s="78"/>
      <c r="B671" s="79"/>
      <c r="C671" s="79"/>
      <c r="D671" s="79"/>
      <c r="E671" s="79"/>
      <c r="F671" s="79"/>
      <c r="G671" s="79"/>
      <c r="H671" s="79"/>
      <c r="J671" s="25"/>
      <c r="K671" s="25"/>
    </row>
    <row r="672" spans="1:11" ht="15">
      <c r="A672" s="78"/>
      <c r="B672" s="79"/>
      <c r="C672" s="79"/>
      <c r="D672" s="79"/>
      <c r="E672" s="79"/>
      <c r="F672" s="79"/>
      <c r="G672" s="79"/>
      <c r="H672" s="79"/>
      <c r="J672" s="25"/>
      <c r="K672" s="25"/>
    </row>
    <row r="673" spans="1:11" ht="15">
      <c r="A673" s="78"/>
      <c r="B673" s="79"/>
      <c r="C673" s="79"/>
      <c r="D673" s="79"/>
      <c r="E673" s="79"/>
      <c r="F673" s="79"/>
      <c r="G673" s="79"/>
      <c r="H673" s="79"/>
      <c r="J673" s="25"/>
      <c r="K673" s="25"/>
    </row>
    <row r="674" spans="1:11" ht="15">
      <c r="A674" s="78"/>
      <c r="B674" s="79"/>
      <c r="C674" s="79"/>
      <c r="D674" s="79"/>
      <c r="E674" s="79"/>
      <c r="F674" s="79"/>
      <c r="G674" s="79"/>
      <c r="H674" s="79"/>
      <c r="J674" s="25"/>
      <c r="K674" s="25"/>
    </row>
    <row r="675" spans="1:11" ht="15">
      <c r="A675" s="78"/>
      <c r="B675" s="79"/>
      <c r="C675" s="79"/>
      <c r="D675" s="79"/>
      <c r="E675" s="79"/>
      <c r="F675" s="79"/>
      <c r="G675" s="79"/>
      <c r="H675" s="79"/>
      <c r="J675" s="25"/>
      <c r="K675" s="25"/>
    </row>
    <row r="676" spans="1:11" ht="15">
      <c r="A676" s="78"/>
      <c r="B676" s="79"/>
      <c r="C676" s="79"/>
      <c r="D676" s="79"/>
      <c r="E676" s="79"/>
      <c r="F676" s="79"/>
      <c r="G676" s="79"/>
      <c r="H676" s="79"/>
      <c r="J676" s="25"/>
      <c r="K676" s="25"/>
    </row>
    <row r="677" spans="1:11" ht="15">
      <c r="A677" s="78"/>
      <c r="B677" s="79"/>
      <c r="C677" s="79"/>
      <c r="D677" s="79"/>
      <c r="E677" s="79"/>
      <c r="F677" s="79"/>
      <c r="G677" s="79"/>
      <c r="H677" s="79"/>
      <c r="J677" s="25"/>
      <c r="K677" s="25"/>
    </row>
    <row r="678" spans="1:11" ht="15">
      <c r="A678" s="78"/>
      <c r="B678" s="79"/>
      <c r="C678" s="79"/>
      <c r="D678" s="79"/>
      <c r="E678" s="79"/>
      <c r="F678" s="79"/>
      <c r="G678" s="79"/>
      <c r="H678" s="79"/>
      <c r="J678" s="25"/>
      <c r="K678" s="25"/>
    </row>
    <row r="679" spans="1:11" ht="15">
      <c r="A679" s="78"/>
      <c r="B679" s="79"/>
      <c r="C679" s="79"/>
      <c r="D679" s="79"/>
      <c r="E679" s="79"/>
      <c r="F679" s="79"/>
      <c r="G679" s="79"/>
      <c r="H679" s="79"/>
      <c r="J679" s="25"/>
      <c r="K679" s="25"/>
    </row>
    <row r="680" spans="1:11" ht="15">
      <c r="A680" s="78"/>
      <c r="B680" s="79"/>
      <c r="C680" s="79"/>
      <c r="D680" s="79"/>
      <c r="E680" s="79"/>
      <c r="F680" s="79"/>
      <c r="G680" s="79"/>
      <c r="H680" s="79"/>
      <c r="J680" s="25"/>
      <c r="K680" s="25"/>
    </row>
    <row r="681" spans="1:11" ht="15">
      <c r="A681" s="78"/>
      <c r="B681" s="79"/>
      <c r="C681" s="79"/>
      <c r="D681" s="79"/>
      <c r="E681" s="79"/>
      <c r="F681" s="79"/>
      <c r="G681" s="79"/>
      <c r="H681" s="79"/>
      <c r="J681" s="25"/>
      <c r="K681" s="25"/>
    </row>
    <row r="682" spans="1:11" ht="15">
      <c r="A682" s="78"/>
      <c r="B682" s="79"/>
      <c r="C682" s="79"/>
      <c r="D682" s="79"/>
      <c r="E682" s="79"/>
      <c r="F682" s="79"/>
      <c r="G682" s="79"/>
      <c r="H682" s="79"/>
      <c r="J682" s="25"/>
      <c r="K682" s="25"/>
    </row>
    <row r="683" spans="1:11" ht="15">
      <c r="A683" s="78"/>
      <c r="B683" s="79"/>
      <c r="C683" s="79"/>
      <c r="D683" s="79"/>
      <c r="E683" s="79"/>
      <c r="F683" s="79"/>
      <c r="G683" s="79"/>
      <c r="H683" s="79"/>
      <c r="J683" s="25"/>
      <c r="K683" s="25"/>
    </row>
    <row r="684" spans="1:11" ht="15">
      <c r="A684" s="78"/>
      <c r="B684" s="79"/>
      <c r="C684" s="79"/>
      <c r="D684" s="79"/>
      <c r="E684" s="79"/>
      <c r="F684" s="79"/>
      <c r="G684" s="79"/>
      <c r="H684" s="79"/>
      <c r="J684" s="25"/>
      <c r="K684" s="25"/>
    </row>
    <row r="685" spans="1:11" ht="15">
      <c r="A685" s="78"/>
      <c r="B685" s="79"/>
      <c r="C685" s="79"/>
      <c r="D685" s="79"/>
      <c r="E685" s="79"/>
      <c r="F685" s="79"/>
      <c r="G685" s="79"/>
      <c r="H685" s="79"/>
      <c r="J685" s="25"/>
      <c r="K685" s="25"/>
    </row>
    <row r="686" spans="1:11" ht="15">
      <c r="A686" s="78"/>
      <c r="B686" s="79"/>
      <c r="C686" s="79"/>
      <c r="D686" s="79"/>
      <c r="E686" s="79"/>
      <c r="F686" s="79"/>
      <c r="G686" s="79"/>
      <c r="H686" s="79"/>
      <c r="J686" s="25"/>
      <c r="K686" s="25"/>
    </row>
    <row r="687" spans="1:11" ht="15">
      <c r="A687" s="78"/>
      <c r="B687" s="79"/>
      <c r="C687" s="79"/>
      <c r="D687" s="79"/>
      <c r="E687" s="79"/>
      <c r="F687" s="79"/>
      <c r="G687" s="79"/>
      <c r="H687" s="79"/>
      <c r="J687" s="25"/>
      <c r="K687" s="25"/>
    </row>
    <row r="688" spans="1:11" ht="15">
      <c r="A688" s="78"/>
      <c r="B688" s="79"/>
      <c r="C688" s="79"/>
      <c r="D688" s="79"/>
      <c r="E688" s="79"/>
      <c r="F688" s="79"/>
      <c r="G688" s="79"/>
      <c r="H688" s="79"/>
      <c r="J688" s="25"/>
      <c r="K688" s="25"/>
    </row>
    <row r="689" spans="1:11" ht="15">
      <c r="A689" s="78"/>
      <c r="B689" s="79"/>
      <c r="C689" s="79"/>
      <c r="D689" s="79"/>
      <c r="E689" s="79"/>
      <c r="F689" s="79"/>
      <c r="G689" s="79"/>
      <c r="H689" s="79"/>
      <c r="J689" s="25"/>
      <c r="K689" s="25"/>
    </row>
    <row r="690" spans="1:11" ht="15">
      <c r="A690" s="78"/>
      <c r="B690" s="79"/>
      <c r="C690" s="79"/>
      <c r="D690" s="79"/>
      <c r="E690" s="79"/>
      <c r="F690" s="79"/>
      <c r="G690" s="79"/>
      <c r="H690" s="79"/>
      <c r="J690" s="25"/>
      <c r="K690" s="25"/>
    </row>
    <row r="691" spans="1:11" ht="15">
      <c r="A691" s="78"/>
      <c r="B691" s="79"/>
      <c r="C691" s="79"/>
      <c r="D691" s="79"/>
      <c r="E691" s="79"/>
      <c r="F691" s="79"/>
      <c r="G691" s="79"/>
      <c r="H691" s="79"/>
      <c r="J691" s="25"/>
      <c r="K691" s="25"/>
    </row>
    <row r="692" spans="1:11" ht="15">
      <c r="A692" s="78"/>
      <c r="B692" s="79"/>
      <c r="C692" s="79"/>
      <c r="D692" s="79"/>
      <c r="E692" s="79"/>
      <c r="F692" s="79"/>
      <c r="G692" s="79"/>
      <c r="H692" s="79"/>
      <c r="J692" s="25"/>
      <c r="K692" s="25"/>
    </row>
    <row r="693" spans="1:11" ht="15">
      <c r="A693" s="78"/>
      <c r="B693" s="79"/>
      <c r="C693" s="79"/>
      <c r="D693" s="79"/>
      <c r="E693" s="79"/>
      <c r="F693" s="79"/>
      <c r="G693" s="79"/>
      <c r="H693" s="79"/>
      <c r="J693" s="25"/>
      <c r="K693" s="25"/>
    </row>
    <row r="694" spans="1:11" ht="15">
      <c r="A694" s="78"/>
      <c r="B694" s="79"/>
      <c r="C694" s="79"/>
      <c r="D694" s="79"/>
      <c r="E694" s="79"/>
      <c r="F694" s="79"/>
      <c r="G694" s="79"/>
      <c r="H694" s="79"/>
      <c r="J694" s="25"/>
      <c r="K694" s="25"/>
    </row>
    <row r="695" spans="1:11" ht="15">
      <c r="A695" s="78"/>
      <c r="B695" s="79"/>
      <c r="C695" s="79"/>
      <c r="D695" s="79"/>
      <c r="E695" s="79"/>
      <c r="F695" s="79"/>
      <c r="G695" s="79"/>
      <c r="H695" s="79"/>
      <c r="J695" s="25"/>
      <c r="K695" s="25"/>
    </row>
    <row r="696" spans="1:11" ht="15">
      <c r="A696" s="78"/>
      <c r="B696" s="79"/>
      <c r="C696" s="79"/>
      <c r="D696" s="79"/>
      <c r="E696" s="79"/>
      <c r="F696" s="79"/>
      <c r="G696" s="79"/>
      <c r="H696" s="79"/>
      <c r="J696" s="25"/>
      <c r="K696" s="25"/>
    </row>
    <row r="697" spans="1:11" ht="15">
      <c r="A697" s="78"/>
      <c r="B697" s="79"/>
      <c r="C697" s="79"/>
      <c r="D697" s="79"/>
      <c r="E697" s="79"/>
      <c r="F697" s="79"/>
      <c r="G697" s="79"/>
      <c r="H697" s="79"/>
      <c r="J697" s="25"/>
      <c r="K697" s="25"/>
    </row>
    <row r="698" spans="1:11" ht="15">
      <c r="A698" s="78"/>
      <c r="B698" s="79"/>
      <c r="C698" s="79"/>
      <c r="D698" s="79"/>
      <c r="E698" s="79"/>
      <c r="F698" s="79"/>
      <c r="G698" s="79"/>
      <c r="H698" s="79"/>
      <c r="J698" s="25"/>
      <c r="K698" s="25"/>
    </row>
    <row r="699" spans="1:11" ht="15">
      <c r="A699" s="78"/>
      <c r="B699" s="79"/>
      <c r="C699" s="79"/>
      <c r="D699" s="79"/>
      <c r="E699" s="79"/>
      <c r="F699" s="79"/>
      <c r="G699" s="79"/>
      <c r="H699" s="79"/>
      <c r="J699" s="25"/>
      <c r="K699" s="25"/>
    </row>
    <row r="700" spans="1:11" ht="15">
      <c r="A700" s="78"/>
      <c r="B700" s="79"/>
      <c r="C700" s="79"/>
      <c r="D700" s="79"/>
      <c r="E700" s="79"/>
      <c r="F700" s="79"/>
      <c r="G700" s="79"/>
      <c r="H700" s="79"/>
      <c r="J700" s="25"/>
      <c r="K700" s="25"/>
    </row>
    <row r="701" spans="1:11" ht="15">
      <c r="A701" s="78"/>
      <c r="B701" s="79"/>
      <c r="C701" s="79"/>
      <c r="D701" s="79"/>
      <c r="E701" s="79"/>
      <c r="F701" s="79"/>
      <c r="G701" s="79"/>
      <c r="H701" s="79"/>
      <c r="J701" s="25"/>
      <c r="K701" s="25"/>
    </row>
    <row r="702" spans="1:11" ht="15">
      <c r="A702" s="78"/>
      <c r="B702" s="79"/>
      <c r="C702" s="79"/>
      <c r="D702" s="79"/>
      <c r="E702" s="79"/>
      <c r="F702" s="79"/>
      <c r="G702" s="79"/>
      <c r="H702" s="79"/>
      <c r="J702" s="25"/>
      <c r="K702" s="25"/>
    </row>
    <row r="703" spans="1:11" ht="15">
      <c r="A703" s="78"/>
      <c r="B703" s="79"/>
      <c r="C703" s="79"/>
      <c r="D703" s="79"/>
      <c r="E703" s="79"/>
      <c r="F703" s="79"/>
      <c r="G703" s="79"/>
      <c r="H703" s="79"/>
      <c r="J703" s="25"/>
      <c r="K703" s="25"/>
    </row>
    <row r="704" spans="1:11" ht="15">
      <c r="A704" s="78"/>
      <c r="B704" s="79"/>
      <c r="C704" s="79"/>
      <c r="D704" s="79"/>
      <c r="E704" s="79"/>
      <c r="F704" s="79"/>
      <c r="G704" s="79"/>
      <c r="H704" s="79"/>
      <c r="J704" s="25"/>
      <c r="K704" s="25"/>
    </row>
    <row r="705" spans="1:11" ht="15">
      <c r="A705" s="78"/>
      <c r="B705" s="79"/>
      <c r="C705" s="79"/>
      <c r="D705" s="79"/>
      <c r="E705" s="79"/>
      <c r="F705" s="79"/>
      <c r="G705" s="79"/>
      <c r="H705" s="79"/>
      <c r="J705" s="25"/>
      <c r="K705" s="25"/>
    </row>
    <row r="706" spans="1:11" ht="15">
      <c r="A706" s="78"/>
      <c r="B706" s="79"/>
      <c r="C706" s="79"/>
      <c r="D706" s="79"/>
      <c r="E706" s="79"/>
      <c r="F706" s="79"/>
      <c r="G706" s="79"/>
      <c r="H706" s="79"/>
      <c r="J706" s="25"/>
      <c r="K706" s="25"/>
    </row>
    <row r="707" spans="1:11" ht="15">
      <c r="A707" s="78"/>
      <c r="B707" s="79"/>
      <c r="C707" s="79"/>
      <c r="D707" s="79"/>
      <c r="E707" s="79"/>
      <c r="F707" s="79"/>
      <c r="G707" s="79"/>
      <c r="H707" s="79"/>
      <c r="J707" s="25"/>
      <c r="K707" s="25"/>
    </row>
    <row r="708" spans="1:11" ht="15">
      <c r="A708" s="78"/>
      <c r="B708" s="79"/>
      <c r="C708" s="79"/>
      <c r="D708" s="79"/>
      <c r="E708" s="79"/>
      <c r="F708" s="79"/>
      <c r="G708" s="79"/>
      <c r="H708" s="79"/>
      <c r="J708" s="25"/>
      <c r="K708" s="25"/>
    </row>
    <row r="709" spans="1:11" ht="15">
      <c r="A709" s="78"/>
      <c r="B709" s="79"/>
      <c r="C709" s="79"/>
      <c r="D709" s="79"/>
      <c r="E709" s="79"/>
      <c r="F709" s="79"/>
      <c r="G709" s="79"/>
      <c r="H709" s="79"/>
      <c r="J709" s="25"/>
      <c r="K709" s="25"/>
    </row>
    <row r="710" spans="1:11" ht="15">
      <c r="A710" s="78"/>
      <c r="B710" s="79"/>
      <c r="C710" s="79"/>
      <c r="D710" s="79"/>
      <c r="E710" s="79"/>
      <c r="F710" s="79"/>
      <c r="G710" s="79"/>
      <c r="H710" s="79"/>
      <c r="J710" s="25"/>
      <c r="K710" s="25"/>
    </row>
    <row r="711" spans="1:11" ht="15">
      <c r="A711" s="78"/>
      <c r="B711" s="79"/>
      <c r="C711" s="79"/>
      <c r="D711" s="79"/>
      <c r="E711" s="79"/>
      <c r="F711" s="79"/>
      <c r="G711" s="79"/>
      <c r="H711" s="79"/>
      <c r="J711" s="25"/>
      <c r="K711" s="25"/>
    </row>
    <row r="712" spans="1:11" ht="15">
      <c r="A712" s="78"/>
      <c r="B712" s="79"/>
      <c r="C712" s="79"/>
      <c r="D712" s="79"/>
      <c r="E712" s="79"/>
      <c r="F712" s="79"/>
      <c r="G712" s="79"/>
      <c r="H712" s="79"/>
      <c r="J712" s="25"/>
      <c r="K712" s="25"/>
    </row>
    <row r="713" spans="1:11" ht="15">
      <c r="A713" s="78"/>
      <c r="B713" s="79"/>
      <c r="C713" s="79"/>
      <c r="D713" s="79"/>
      <c r="E713" s="79"/>
      <c r="F713" s="79"/>
      <c r="G713" s="79"/>
      <c r="H713" s="79"/>
      <c r="J713" s="25"/>
      <c r="K713" s="25"/>
    </row>
    <row r="714" spans="1:11" ht="15">
      <c r="A714" s="78"/>
      <c r="B714" s="79"/>
      <c r="C714" s="79"/>
      <c r="D714" s="79"/>
      <c r="E714" s="79"/>
      <c r="F714" s="79"/>
      <c r="G714" s="79"/>
      <c r="H714" s="79"/>
      <c r="J714" s="25"/>
      <c r="K714" s="25"/>
    </row>
    <row r="715" spans="1:11" ht="15">
      <c r="A715" s="78"/>
      <c r="B715" s="79"/>
      <c r="C715" s="79"/>
      <c r="D715" s="79"/>
      <c r="E715" s="79"/>
      <c r="F715" s="79"/>
      <c r="G715" s="79"/>
      <c r="H715" s="79"/>
      <c r="J715" s="25"/>
      <c r="K715" s="25"/>
    </row>
    <row r="716" spans="1:11" ht="15">
      <c r="A716" s="78"/>
      <c r="B716" s="79"/>
      <c r="C716" s="79"/>
      <c r="D716" s="79"/>
      <c r="E716" s="79"/>
      <c r="F716" s="79"/>
      <c r="G716" s="79"/>
      <c r="H716" s="79"/>
      <c r="J716" s="25"/>
      <c r="K716" s="25"/>
    </row>
    <row r="717" spans="1:11" ht="15">
      <c r="A717" s="78"/>
      <c r="B717" s="79"/>
      <c r="C717" s="79"/>
      <c r="D717" s="79"/>
      <c r="E717" s="79"/>
      <c r="F717" s="79"/>
      <c r="G717" s="79"/>
      <c r="H717" s="79"/>
      <c r="J717" s="25"/>
      <c r="K717" s="25"/>
    </row>
    <row r="718" spans="1:11" ht="15">
      <c r="A718" s="78"/>
      <c r="B718" s="79"/>
      <c r="C718" s="79"/>
      <c r="D718" s="79"/>
      <c r="E718" s="79"/>
      <c r="F718" s="79"/>
      <c r="G718" s="79"/>
      <c r="H718" s="79"/>
      <c r="J718" s="25"/>
      <c r="K718" s="25"/>
    </row>
    <row r="719" spans="1:11" ht="15">
      <c r="A719" s="78"/>
      <c r="B719" s="79"/>
      <c r="C719" s="79"/>
      <c r="D719" s="79"/>
      <c r="E719" s="79"/>
      <c r="F719" s="79"/>
      <c r="G719" s="79"/>
      <c r="H719" s="79"/>
      <c r="J719" s="25"/>
      <c r="K719" s="25"/>
    </row>
    <row r="720" spans="1:11" ht="15">
      <c r="A720" s="78"/>
      <c r="B720" s="79"/>
      <c r="C720" s="79"/>
      <c r="D720" s="79"/>
      <c r="E720" s="79"/>
      <c r="F720" s="79"/>
      <c r="G720" s="79"/>
      <c r="H720" s="79"/>
      <c r="J720" s="25"/>
      <c r="K720" s="25"/>
    </row>
    <row r="721" spans="1:11" ht="15">
      <c r="A721" s="78"/>
      <c r="B721" s="79"/>
      <c r="C721" s="79"/>
      <c r="D721" s="79"/>
      <c r="E721" s="79"/>
      <c r="F721" s="79"/>
      <c r="G721" s="79"/>
      <c r="H721" s="79"/>
      <c r="J721" s="25"/>
      <c r="K721" s="25"/>
    </row>
    <row r="722" spans="1:11" ht="15">
      <c r="A722" s="78"/>
      <c r="B722" s="79"/>
      <c r="C722" s="79"/>
      <c r="D722" s="79"/>
      <c r="E722" s="79"/>
      <c r="F722" s="79"/>
      <c r="G722" s="79"/>
      <c r="H722" s="79"/>
      <c r="J722" s="25"/>
      <c r="K722" s="25"/>
    </row>
    <row r="723" spans="1:11" ht="15">
      <c r="A723" s="78"/>
      <c r="B723" s="79"/>
      <c r="C723" s="79"/>
      <c r="D723" s="79"/>
      <c r="E723" s="79"/>
      <c r="F723" s="79"/>
      <c r="G723" s="79"/>
      <c r="H723" s="79"/>
      <c r="J723" s="25"/>
      <c r="K723" s="25"/>
    </row>
    <row r="724" spans="1:11" ht="15">
      <c r="A724" s="78"/>
      <c r="B724" s="79"/>
      <c r="C724" s="79"/>
      <c r="D724" s="79"/>
      <c r="E724" s="79"/>
      <c r="F724" s="79"/>
      <c r="G724" s="79"/>
      <c r="H724" s="79"/>
      <c r="J724" s="25"/>
      <c r="K724" s="25"/>
    </row>
    <row r="725" spans="1:11" ht="13.2">
      <c r="A725" s="17"/>
      <c r="C725" s="11"/>
      <c r="E725" s="11"/>
      <c r="H725" s="11"/>
    </row>
    <row r="726" spans="1:11">
      <c r="A726" s="17"/>
      <c r="C726" s="11"/>
      <c r="E726" s="11"/>
      <c r="H726" s="11"/>
    </row>
    <row r="727" spans="1:11">
      <c r="A727" s="17"/>
      <c r="C727" s="11"/>
      <c r="E727" s="11"/>
      <c r="H727" s="11"/>
    </row>
    <row r="728" spans="1:11">
      <c r="A728" s="17"/>
      <c r="C728" s="11"/>
      <c r="E728" s="11"/>
      <c r="H728" s="11"/>
    </row>
    <row r="729" spans="1:11">
      <c r="A729" s="17"/>
      <c r="C729" s="11"/>
      <c r="E729" s="11"/>
      <c r="H729" s="11"/>
    </row>
    <row r="730" spans="1:11">
      <c r="A730" s="17"/>
      <c r="C730" s="11"/>
      <c r="E730" s="11"/>
      <c r="H730" s="11"/>
    </row>
    <row r="731" spans="1:11">
      <c r="A731" s="17"/>
      <c r="C731" s="11"/>
      <c r="E731" s="11"/>
      <c r="H731" s="11"/>
    </row>
    <row r="732" spans="1:11">
      <c r="A732" s="17"/>
      <c r="C732" s="11"/>
      <c r="E732" s="11"/>
      <c r="H732" s="11"/>
    </row>
    <row r="733" spans="1:11">
      <c r="A733" s="17"/>
      <c r="C733" s="11"/>
      <c r="E733" s="11"/>
      <c r="H733" s="11"/>
    </row>
    <row r="734" spans="1:11">
      <c r="A734" s="17"/>
      <c r="C734" s="11"/>
      <c r="E734" s="11"/>
      <c r="H734" s="11"/>
    </row>
    <row r="735" spans="1:11">
      <c r="A735" s="17"/>
      <c r="C735" s="11"/>
      <c r="E735" s="11"/>
      <c r="H735" s="11"/>
    </row>
    <row r="736" spans="1:11">
      <c r="A736" s="17"/>
      <c r="C736" s="11"/>
      <c r="E736" s="11"/>
      <c r="H736" s="11"/>
    </row>
    <row r="737" spans="1:8">
      <c r="A737" s="17"/>
      <c r="C737" s="11"/>
      <c r="E737" s="11"/>
      <c r="H737" s="11"/>
    </row>
    <row r="738" spans="1:8">
      <c r="A738" s="17"/>
      <c r="C738" s="11"/>
      <c r="E738" s="11"/>
      <c r="H738" s="11"/>
    </row>
    <row r="739" spans="1:8">
      <c r="A739" s="17"/>
      <c r="C739" s="11"/>
      <c r="E739" s="11"/>
      <c r="H739" s="11"/>
    </row>
    <row r="740" spans="1:8">
      <c r="A740" s="17"/>
      <c r="C740" s="11"/>
      <c r="E740" s="11"/>
      <c r="H740" s="11"/>
    </row>
    <row r="741" spans="1:8">
      <c r="A741" s="17"/>
      <c r="C741" s="11"/>
      <c r="E741" s="11"/>
      <c r="H741" s="11"/>
    </row>
    <row r="742" spans="1:8">
      <c r="A742" s="17"/>
      <c r="C742" s="11"/>
      <c r="E742" s="11"/>
      <c r="H742" s="11"/>
    </row>
    <row r="743" spans="1:8">
      <c r="A743" s="17"/>
      <c r="C743" s="11"/>
      <c r="E743" s="11"/>
      <c r="H743" s="11"/>
    </row>
    <row r="744" spans="1:8">
      <c r="A744" s="17"/>
      <c r="C744" s="11"/>
      <c r="E744" s="11"/>
      <c r="H744" s="11"/>
    </row>
    <row r="745" spans="1:8">
      <c r="A745" s="17"/>
      <c r="C745" s="11"/>
      <c r="E745" s="11"/>
      <c r="H745" s="11"/>
    </row>
    <row r="746" spans="1:8">
      <c r="A746" s="17"/>
      <c r="C746" s="11"/>
      <c r="E746" s="11"/>
      <c r="H746" s="11"/>
    </row>
    <row r="747" spans="1:8">
      <c r="A747" s="17"/>
      <c r="C747" s="11"/>
      <c r="E747" s="11"/>
      <c r="H747" s="11"/>
    </row>
    <row r="748" spans="1:8">
      <c r="A748" s="17"/>
      <c r="C748" s="11"/>
      <c r="E748" s="11"/>
      <c r="H748" s="11"/>
    </row>
    <row r="749" spans="1:8">
      <c r="A749" s="17"/>
      <c r="C749" s="11"/>
      <c r="E749" s="11"/>
      <c r="H749" s="11"/>
    </row>
    <row r="750" spans="1:8">
      <c r="A750" s="17"/>
      <c r="C750" s="11"/>
      <c r="E750" s="11"/>
      <c r="H750" s="11"/>
    </row>
    <row r="751" spans="1:8">
      <c r="A751" s="17"/>
      <c r="C751" s="11"/>
      <c r="E751" s="11"/>
      <c r="H751" s="11"/>
    </row>
    <row r="752" spans="1:8">
      <c r="A752" s="17"/>
      <c r="C752" s="11"/>
      <c r="E752" s="11"/>
      <c r="H752" s="11"/>
    </row>
    <row r="753" spans="1:8">
      <c r="A753" s="17"/>
      <c r="C753" s="11"/>
      <c r="E753" s="11"/>
      <c r="H753" s="11"/>
    </row>
    <row r="754" spans="1:8">
      <c r="A754" s="17"/>
      <c r="C754" s="11"/>
      <c r="E754" s="11"/>
      <c r="H754" s="11"/>
    </row>
    <row r="755" spans="1:8">
      <c r="A755" s="17"/>
      <c r="C755" s="11"/>
      <c r="E755" s="11"/>
      <c r="H755" s="11"/>
    </row>
    <row r="756" spans="1:8">
      <c r="A756" s="17"/>
      <c r="C756" s="11"/>
      <c r="E756" s="11"/>
      <c r="H756" s="11"/>
    </row>
    <row r="757" spans="1:8">
      <c r="A757" s="17"/>
      <c r="C757" s="11"/>
      <c r="E757" s="11"/>
      <c r="H757" s="11"/>
    </row>
    <row r="758" spans="1:8">
      <c r="A758" s="17"/>
      <c r="C758" s="11"/>
      <c r="E758" s="11"/>
      <c r="H758" s="11"/>
    </row>
    <row r="759" spans="1:8">
      <c r="A759" s="17"/>
      <c r="C759" s="11"/>
      <c r="E759" s="11"/>
      <c r="H759" s="11"/>
    </row>
    <row r="760" spans="1:8">
      <c r="A760" s="17"/>
      <c r="C760" s="11"/>
      <c r="E760" s="11"/>
      <c r="H760" s="11"/>
    </row>
    <row r="761" spans="1:8">
      <c r="A761" s="17"/>
      <c r="C761" s="11"/>
      <c r="E761" s="11"/>
      <c r="H761" s="11"/>
    </row>
    <row r="762" spans="1:8">
      <c r="A762" s="17"/>
      <c r="C762" s="11"/>
      <c r="E762" s="11"/>
      <c r="H762" s="11"/>
    </row>
    <row r="763" spans="1:8">
      <c r="A763" s="17"/>
      <c r="C763" s="11"/>
      <c r="E763" s="11"/>
      <c r="H763" s="11"/>
    </row>
    <row r="764" spans="1:8">
      <c r="A764" s="17"/>
      <c r="C764" s="11"/>
      <c r="E764" s="11"/>
      <c r="H764" s="11"/>
    </row>
    <row r="765" spans="1:8">
      <c r="A765" s="17"/>
      <c r="C765" s="11"/>
      <c r="E765" s="11"/>
      <c r="H765" s="11"/>
    </row>
    <row r="766" spans="1:8">
      <c r="A766" s="17"/>
      <c r="C766" s="11"/>
      <c r="E766" s="11"/>
      <c r="H766" s="11"/>
    </row>
    <row r="767" spans="1:8">
      <c r="A767" s="17"/>
      <c r="C767" s="11"/>
      <c r="E767" s="11"/>
      <c r="H767" s="11"/>
    </row>
    <row r="768" spans="1:8">
      <c r="A768" s="17"/>
      <c r="C768" s="11"/>
      <c r="E768" s="11"/>
      <c r="H768" s="11"/>
    </row>
    <row r="769" spans="1:8">
      <c r="A769" s="17"/>
      <c r="C769" s="11"/>
      <c r="E769" s="11"/>
      <c r="H769" s="11"/>
    </row>
    <row r="770" spans="1:8">
      <c r="A770" s="17"/>
      <c r="C770" s="11"/>
      <c r="E770" s="11"/>
      <c r="H770" s="11"/>
    </row>
    <row r="771" spans="1:8">
      <c r="A771" s="17"/>
      <c r="C771" s="11"/>
      <c r="E771" s="11"/>
      <c r="H771" s="11"/>
    </row>
    <row r="772" spans="1:8">
      <c r="A772" s="17"/>
      <c r="C772" s="11"/>
      <c r="E772" s="11"/>
      <c r="H772" s="11"/>
    </row>
    <row r="773" spans="1:8">
      <c r="A773" s="17"/>
      <c r="C773" s="11"/>
      <c r="E773" s="11"/>
      <c r="H773" s="11"/>
    </row>
    <row r="774" spans="1:8">
      <c r="A774" s="17"/>
      <c r="C774" s="11"/>
      <c r="E774" s="11"/>
      <c r="H774" s="11"/>
    </row>
    <row r="775" spans="1:8">
      <c r="A775" s="17"/>
      <c r="C775" s="11"/>
      <c r="E775" s="11"/>
      <c r="H775" s="11"/>
    </row>
    <row r="776" spans="1:8">
      <c r="A776" s="17"/>
      <c r="C776" s="11"/>
      <c r="E776" s="11"/>
      <c r="H776" s="11"/>
    </row>
    <row r="777" spans="1:8">
      <c r="A777" s="17"/>
      <c r="C777" s="11"/>
      <c r="E777" s="11"/>
      <c r="H777" s="11"/>
    </row>
    <row r="778" spans="1:8">
      <c r="A778" s="17"/>
      <c r="C778" s="11"/>
      <c r="E778" s="11"/>
      <c r="H778" s="11"/>
    </row>
    <row r="779" spans="1:8">
      <c r="A779" s="17"/>
      <c r="C779" s="11"/>
      <c r="E779" s="11"/>
      <c r="H779" s="11"/>
    </row>
    <row r="780" spans="1:8">
      <c r="A780" s="17"/>
      <c r="C780" s="11"/>
      <c r="E780" s="11"/>
      <c r="H780" s="11"/>
    </row>
    <row r="781" spans="1:8">
      <c r="A781" s="17"/>
      <c r="C781" s="11"/>
      <c r="E781" s="11"/>
      <c r="H781" s="11"/>
    </row>
    <row r="782" spans="1:8">
      <c r="A782" s="17"/>
      <c r="C782" s="11"/>
      <c r="E782" s="11"/>
      <c r="H782" s="11"/>
    </row>
    <row r="783" spans="1:8">
      <c r="A783" s="17"/>
      <c r="C783" s="11"/>
      <c r="E783" s="11"/>
      <c r="H783" s="11"/>
    </row>
    <row r="784" spans="1:8">
      <c r="A784" s="17"/>
      <c r="C784" s="11"/>
      <c r="E784" s="11"/>
      <c r="H784" s="11"/>
    </row>
    <row r="785" spans="1:8">
      <c r="A785" s="17"/>
      <c r="C785" s="11"/>
      <c r="E785" s="11"/>
      <c r="H785" s="11"/>
    </row>
    <row r="786" spans="1:8">
      <c r="A786" s="17"/>
      <c r="C786" s="11"/>
      <c r="E786" s="11"/>
      <c r="H786" s="11"/>
    </row>
    <row r="787" spans="1:8">
      <c r="A787" s="17"/>
      <c r="C787" s="11"/>
      <c r="E787" s="11"/>
      <c r="H787" s="11"/>
    </row>
    <row r="788" spans="1:8">
      <c r="A788" s="17"/>
      <c r="C788" s="11"/>
      <c r="E788" s="11"/>
      <c r="H788" s="11"/>
    </row>
    <row r="789" spans="1:8">
      <c r="A789" s="17"/>
      <c r="C789" s="11"/>
      <c r="E789" s="11"/>
      <c r="H789" s="11"/>
    </row>
    <row r="790" spans="1:8">
      <c r="A790" s="17"/>
      <c r="C790" s="11"/>
      <c r="E790" s="11"/>
      <c r="H790" s="11"/>
    </row>
    <row r="791" spans="1:8">
      <c r="A791" s="17"/>
      <c r="C791" s="11"/>
      <c r="E791" s="11"/>
      <c r="H791" s="11"/>
    </row>
    <row r="792" spans="1:8">
      <c r="A792" s="17"/>
      <c r="C792" s="11"/>
      <c r="E792" s="11"/>
      <c r="H792" s="11"/>
    </row>
    <row r="793" spans="1:8">
      <c r="A793" s="17"/>
      <c r="C793" s="11"/>
      <c r="E793" s="11"/>
      <c r="H793" s="11"/>
    </row>
    <row r="794" spans="1:8">
      <c r="A794" s="17"/>
      <c r="C794" s="11"/>
      <c r="E794" s="11"/>
      <c r="H794" s="11"/>
    </row>
    <row r="795" spans="1:8">
      <c r="A795" s="17"/>
      <c r="C795" s="11"/>
      <c r="E795" s="11"/>
      <c r="H795" s="11"/>
    </row>
    <row r="796" spans="1:8">
      <c r="A796" s="17"/>
      <c r="C796" s="11"/>
      <c r="E796" s="11"/>
      <c r="H796" s="11"/>
    </row>
    <row r="797" spans="1:8">
      <c r="A797" s="17"/>
      <c r="C797" s="11"/>
      <c r="E797" s="11"/>
      <c r="H797" s="11"/>
    </row>
    <row r="798" spans="1:8">
      <c r="A798" s="17"/>
      <c r="C798" s="11"/>
      <c r="E798" s="11"/>
      <c r="H798" s="11"/>
    </row>
    <row r="799" spans="1:8">
      <c r="A799" s="17"/>
      <c r="C799" s="11"/>
      <c r="E799" s="11"/>
      <c r="H799" s="11"/>
    </row>
    <row r="800" spans="1:8">
      <c r="A800" s="17"/>
      <c r="C800" s="11"/>
      <c r="E800" s="11"/>
      <c r="H800" s="11"/>
    </row>
    <row r="801" spans="1:1">
      <c r="A801" s="17"/>
    </row>
    <row r="802" spans="1:1">
      <c r="A802" s="17"/>
    </row>
    <row r="803" spans="1:1">
      <c r="A803" s="17"/>
    </row>
    <row r="804" spans="1:1">
      <c r="A804" s="17"/>
    </row>
    <row r="805" spans="1:1">
      <c r="A805" s="17"/>
    </row>
    <row r="806" spans="1:1">
      <c r="A806" s="17"/>
    </row>
    <row r="807" spans="1:1">
      <c r="A807" s="17"/>
    </row>
    <row r="808" spans="1:1">
      <c r="A808" s="17"/>
    </row>
    <row r="809" spans="1:1">
      <c r="A809" s="17"/>
    </row>
    <row r="810" spans="1:1">
      <c r="A810" s="17"/>
    </row>
    <row r="811" spans="1:1">
      <c r="A811" s="17"/>
    </row>
    <row r="812" spans="1:1">
      <c r="A812" s="17"/>
    </row>
    <row r="813" spans="1:1">
      <c r="A813" s="17"/>
    </row>
    <row r="814" spans="1:1">
      <c r="A814" s="17"/>
    </row>
    <row r="815" spans="1:1">
      <c r="A815" s="17"/>
    </row>
    <row r="816" spans="1:1">
      <c r="A816" s="17"/>
    </row>
    <row r="817" spans="1:1">
      <c r="A817" s="17"/>
    </row>
    <row r="818" spans="1:1">
      <c r="A818" s="17"/>
    </row>
    <row r="819" spans="1:1">
      <c r="A819" s="17"/>
    </row>
    <row r="820" spans="1:1">
      <c r="A820" s="17"/>
    </row>
    <row r="821" spans="1:1">
      <c r="A821" s="17"/>
    </row>
    <row r="822" spans="1:1">
      <c r="A822" s="17"/>
    </row>
    <row r="823" spans="1:1">
      <c r="A823" s="17"/>
    </row>
    <row r="824" spans="1:1">
      <c r="A824" s="17"/>
    </row>
    <row r="825" spans="1:1">
      <c r="A825" s="17"/>
    </row>
    <row r="826" spans="1:1">
      <c r="A826" s="17"/>
    </row>
    <row r="827" spans="1:1">
      <c r="A827" s="17"/>
    </row>
    <row r="828" spans="1:1">
      <c r="A828" s="17"/>
    </row>
    <row r="829" spans="1:1">
      <c r="A829" s="17"/>
    </row>
    <row r="830" spans="1:1">
      <c r="A830" s="17"/>
    </row>
    <row r="831" spans="1:1">
      <c r="A831" s="17"/>
    </row>
    <row r="832" spans="1:1">
      <c r="A832" s="17"/>
    </row>
    <row r="833" spans="1:1">
      <c r="A833" s="17"/>
    </row>
    <row r="834" spans="1:1">
      <c r="A834" s="17"/>
    </row>
    <row r="835" spans="1:1">
      <c r="A835" s="17"/>
    </row>
    <row r="836" spans="1:1">
      <c r="A836" s="17"/>
    </row>
    <row r="837" spans="1:1">
      <c r="A837" s="17"/>
    </row>
    <row r="838" spans="1:1">
      <c r="A838" s="17"/>
    </row>
    <row r="839" spans="1:1">
      <c r="A839" s="17"/>
    </row>
    <row r="840" spans="1:1">
      <c r="A840" s="17"/>
    </row>
    <row r="841" spans="1:1">
      <c r="A841" s="17"/>
    </row>
    <row r="842" spans="1:1">
      <c r="A842" s="17"/>
    </row>
    <row r="843" spans="1:1">
      <c r="A843" s="17"/>
    </row>
    <row r="844" spans="1:1">
      <c r="A844" s="17"/>
    </row>
    <row r="845" spans="1:1">
      <c r="A845" s="17"/>
    </row>
    <row r="846" spans="1:1">
      <c r="A846" s="17"/>
    </row>
    <row r="847" spans="1:1">
      <c r="A847" s="17"/>
    </row>
    <row r="848" spans="1:1">
      <c r="A848" s="17"/>
    </row>
    <row r="849" spans="1:1">
      <c r="A849" s="17"/>
    </row>
    <row r="850" spans="1:1">
      <c r="A850" s="17"/>
    </row>
    <row r="851" spans="1:1">
      <c r="A851" s="17"/>
    </row>
    <row r="852" spans="1:1">
      <c r="A852" s="17"/>
    </row>
    <row r="853" spans="1:1">
      <c r="A853" s="17"/>
    </row>
    <row r="854" spans="1:1">
      <c r="A854" s="17"/>
    </row>
    <row r="855" spans="1:1">
      <c r="A855" s="17"/>
    </row>
    <row r="856" spans="1:1">
      <c r="A856" s="17"/>
    </row>
    <row r="857" spans="1:1">
      <c r="A857" s="17"/>
    </row>
    <row r="858" spans="1:1">
      <c r="A858" s="17"/>
    </row>
    <row r="859" spans="1:1">
      <c r="A859" s="17"/>
    </row>
    <row r="860" spans="1:1">
      <c r="A860" s="17"/>
    </row>
    <row r="861" spans="1:1">
      <c r="A861" s="17"/>
    </row>
    <row r="862" spans="1:1">
      <c r="A862" s="17"/>
    </row>
    <row r="863" spans="1:1">
      <c r="A863" s="17"/>
    </row>
    <row r="864" spans="1:1">
      <c r="A864" s="17"/>
    </row>
    <row r="865" spans="1:1">
      <c r="A865" s="17"/>
    </row>
    <row r="866" spans="1:1">
      <c r="A866" s="17"/>
    </row>
    <row r="867" spans="1:1">
      <c r="A867" s="17"/>
    </row>
    <row r="868" spans="1:1">
      <c r="A868" s="17"/>
    </row>
    <row r="869" spans="1:1">
      <c r="A869" s="17"/>
    </row>
    <row r="870" spans="1:1">
      <c r="A870" s="17"/>
    </row>
    <row r="871" spans="1:1">
      <c r="A871" s="17"/>
    </row>
    <row r="872" spans="1:1">
      <c r="A872" s="17"/>
    </row>
    <row r="873" spans="1:1">
      <c r="A873" s="17"/>
    </row>
    <row r="874" spans="1:1">
      <c r="A874" s="17"/>
    </row>
    <row r="875" spans="1:1">
      <c r="A875" s="17"/>
    </row>
    <row r="876" spans="1:1">
      <c r="A876" s="17"/>
    </row>
    <row r="877" spans="1:1">
      <c r="A877" s="17"/>
    </row>
    <row r="878" spans="1:1">
      <c r="A878" s="17"/>
    </row>
    <row r="879" spans="1:1">
      <c r="A879" s="17"/>
    </row>
    <row r="880" spans="1:1">
      <c r="A880" s="17"/>
    </row>
    <row r="881" spans="1:1">
      <c r="A881" s="17"/>
    </row>
    <row r="882" spans="1:1">
      <c r="A882" s="17"/>
    </row>
    <row r="883" spans="1:1">
      <c r="A883" s="17"/>
    </row>
    <row r="884" spans="1:1">
      <c r="A884" s="17"/>
    </row>
    <row r="885" spans="1:1">
      <c r="A885" s="17"/>
    </row>
    <row r="886" spans="1:1">
      <c r="A886" s="17"/>
    </row>
    <row r="887" spans="1:1">
      <c r="A887" s="17"/>
    </row>
    <row r="888" spans="1:1">
      <c r="A888" s="17"/>
    </row>
    <row r="889" spans="1:1">
      <c r="A889" s="17"/>
    </row>
    <row r="890" spans="1:1">
      <c r="A890" s="17"/>
    </row>
    <row r="891" spans="1:1">
      <c r="A891" s="17"/>
    </row>
    <row r="892" spans="1:1">
      <c r="A892" s="17"/>
    </row>
    <row r="893" spans="1:1">
      <c r="A893" s="17"/>
    </row>
    <row r="894" spans="1:1">
      <c r="A894" s="17"/>
    </row>
    <row r="895" spans="1:1">
      <c r="A895" s="17"/>
    </row>
    <row r="896" spans="1:1">
      <c r="A896" s="17"/>
    </row>
    <row r="897" spans="1:1">
      <c r="A897" s="17"/>
    </row>
    <row r="898" spans="1:1">
      <c r="A898" s="17"/>
    </row>
    <row r="899" spans="1:1">
      <c r="A899" s="17"/>
    </row>
    <row r="900" spans="1:1">
      <c r="A900" s="17"/>
    </row>
    <row r="901" spans="1:1">
      <c r="A901" s="17"/>
    </row>
    <row r="902" spans="1:1">
      <c r="A902" s="17"/>
    </row>
    <row r="903" spans="1:1">
      <c r="A903" s="17"/>
    </row>
    <row r="904" spans="1:1">
      <c r="A904" s="17"/>
    </row>
    <row r="905" spans="1:1">
      <c r="A905" s="17"/>
    </row>
    <row r="906" spans="1:1">
      <c r="A906" s="17"/>
    </row>
    <row r="907" spans="1:1">
      <c r="A907" s="17"/>
    </row>
    <row r="908" spans="1:1">
      <c r="A908" s="17"/>
    </row>
    <row r="909" spans="1:1">
      <c r="A909" s="17"/>
    </row>
    <row r="910" spans="1:1">
      <c r="A910" s="17"/>
    </row>
    <row r="911" spans="1:1">
      <c r="A911" s="17"/>
    </row>
    <row r="912" spans="1:1">
      <c r="A912" s="17"/>
    </row>
    <row r="913" spans="1:1">
      <c r="A913" s="17"/>
    </row>
    <row r="914" spans="1:1">
      <c r="A914" s="17"/>
    </row>
    <row r="915" spans="1:1">
      <c r="A915" s="17"/>
    </row>
    <row r="916" spans="1:1">
      <c r="A916" s="17"/>
    </row>
    <row r="917" spans="1:1">
      <c r="A917" s="17"/>
    </row>
    <row r="918" spans="1:1">
      <c r="A918" s="17"/>
    </row>
    <row r="919" spans="1:1">
      <c r="A919" s="17"/>
    </row>
    <row r="920" spans="1:1">
      <c r="A920" s="17"/>
    </row>
    <row r="921" spans="1:1">
      <c r="A921" s="17"/>
    </row>
    <row r="922" spans="1:1">
      <c r="A922" s="17"/>
    </row>
    <row r="923" spans="1:1">
      <c r="A923" s="17"/>
    </row>
    <row r="924" spans="1:1">
      <c r="A924" s="17"/>
    </row>
    <row r="925" spans="1:1">
      <c r="A925" s="17"/>
    </row>
    <row r="926" spans="1:1">
      <c r="A926" s="17"/>
    </row>
    <row r="927" spans="1:1">
      <c r="A927" s="17"/>
    </row>
    <row r="928" spans="1:1">
      <c r="A928" s="17"/>
    </row>
    <row r="929" spans="1:1">
      <c r="A929" s="17"/>
    </row>
    <row r="930" spans="1:1">
      <c r="A930" s="17"/>
    </row>
    <row r="931" spans="1:1">
      <c r="A931" s="17"/>
    </row>
    <row r="932" spans="1:1">
      <c r="A932" s="17"/>
    </row>
    <row r="933" spans="1:1">
      <c r="A933" s="17"/>
    </row>
    <row r="934" spans="1:1">
      <c r="A934" s="17"/>
    </row>
    <row r="935" spans="1:1">
      <c r="A935" s="17"/>
    </row>
    <row r="936" spans="1:1">
      <c r="A936" s="17"/>
    </row>
    <row r="937" spans="1:1">
      <c r="A937" s="17"/>
    </row>
    <row r="938" spans="1:1">
      <c r="A938" s="17"/>
    </row>
    <row r="939" spans="1:1">
      <c r="A939" s="17"/>
    </row>
    <row r="940" spans="1:1">
      <c r="A940" s="17"/>
    </row>
    <row r="941" spans="1:1">
      <c r="A941" s="17"/>
    </row>
    <row r="942" spans="1:1">
      <c r="A942" s="17"/>
    </row>
    <row r="943" spans="1:1">
      <c r="A943" s="17"/>
    </row>
    <row r="944" spans="1:1">
      <c r="A944" s="17"/>
    </row>
    <row r="945" spans="1:1">
      <c r="A945" s="17"/>
    </row>
    <row r="946" spans="1:1">
      <c r="A946" s="17"/>
    </row>
    <row r="947" spans="1:1">
      <c r="A947" s="17"/>
    </row>
    <row r="948" spans="1:1">
      <c r="A948" s="17"/>
    </row>
    <row r="949" spans="1:1">
      <c r="A949" s="17"/>
    </row>
    <row r="950" spans="1:1">
      <c r="A950" s="17"/>
    </row>
    <row r="951" spans="1:1">
      <c r="A951" s="17"/>
    </row>
    <row r="952" spans="1:1">
      <c r="A952" s="17"/>
    </row>
    <row r="953" spans="1:1">
      <c r="A953" s="17"/>
    </row>
    <row r="954" spans="1:1">
      <c r="A954" s="17"/>
    </row>
    <row r="955" spans="1:1">
      <c r="A955" s="17"/>
    </row>
    <row r="956" spans="1:1">
      <c r="A956" s="17"/>
    </row>
    <row r="957" spans="1:1">
      <c r="A957" s="17"/>
    </row>
    <row r="958" spans="1:1">
      <c r="A958" s="17"/>
    </row>
    <row r="959" spans="1:1">
      <c r="A959" s="17"/>
    </row>
    <row r="960" spans="1:1">
      <c r="A960" s="17"/>
    </row>
    <row r="961" spans="1:1">
      <c r="A961" s="17"/>
    </row>
    <row r="962" spans="1:1">
      <c r="A962" s="17"/>
    </row>
    <row r="963" spans="1:1">
      <c r="A963" s="17"/>
    </row>
    <row r="964" spans="1:1">
      <c r="A964" s="17"/>
    </row>
    <row r="965" spans="1:1">
      <c r="A965" s="17"/>
    </row>
    <row r="966" spans="1:1">
      <c r="A966" s="17"/>
    </row>
    <row r="967" spans="1:1">
      <c r="A967" s="17"/>
    </row>
    <row r="968" spans="1:1">
      <c r="A968" s="17"/>
    </row>
    <row r="969" spans="1:1">
      <c r="A969" s="17"/>
    </row>
    <row r="970" spans="1:1">
      <c r="A970" s="17"/>
    </row>
    <row r="971" spans="1:1">
      <c r="A971" s="17"/>
    </row>
    <row r="972" spans="1:1">
      <c r="A972" s="17"/>
    </row>
    <row r="973" spans="1:1">
      <c r="A973" s="17"/>
    </row>
    <row r="974" spans="1:1">
      <c r="A974" s="17"/>
    </row>
    <row r="975" spans="1:1">
      <c r="A975" s="17"/>
    </row>
    <row r="976" spans="1:1">
      <c r="A976" s="17"/>
    </row>
    <row r="977" spans="1:1">
      <c r="A977" s="17"/>
    </row>
    <row r="978" spans="1:1">
      <c r="A978" s="17"/>
    </row>
    <row r="979" spans="1:1">
      <c r="A979" s="17"/>
    </row>
    <row r="980" spans="1:1">
      <c r="A980" s="17"/>
    </row>
    <row r="981" spans="1:1">
      <c r="A981" s="17"/>
    </row>
    <row r="982" spans="1:1">
      <c r="A982" s="17"/>
    </row>
    <row r="983" spans="1:1">
      <c r="A983" s="17"/>
    </row>
    <row r="984" spans="1:1">
      <c r="A984" s="17"/>
    </row>
    <row r="985" spans="1:1">
      <c r="A985" s="17"/>
    </row>
    <row r="986" spans="1:1">
      <c r="A986" s="17"/>
    </row>
    <row r="987" spans="1:1">
      <c r="A987" s="17"/>
    </row>
    <row r="988" spans="1:1">
      <c r="A988" s="17"/>
    </row>
    <row r="989" spans="1:1">
      <c r="A989" s="17"/>
    </row>
    <row r="990" spans="1:1">
      <c r="A990" s="17"/>
    </row>
    <row r="991" spans="1:1">
      <c r="A991" s="17"/>
    </row>
    <row r="992" spans="1:1">
      <c r="A992" s="17"/>
    </row>
    <row r="993" spans="1:1">
      <c r="A993" s="17"/>
    </row>
    <row r="994" spans="1:1">
      <c r="A994" s="17"/>
    </row>
    <row r="995" spans="1:1">
      <c r="A995" s="17"/>
    </row>
    <row r="996" spans="1:1">
      <c r="A996" s="17"/>
    </row>
    <row r="997" spans="1:1">
      <c r="A997" s="17"/>
    </row>
    <row r="998" spans="1:1">
      <c r="A998" s="17"/>
    </row>
    <row r="999" spans="1:1">
      <c r="A999" s="17"/>
    </row>
  </sheetData>
  <mergeCells count="2">
    <mergeCell ref="J1:K1"/>
    <mergeCell ref="J2:J7"/>
  </mergeCells>
  <dataValidations count="3">
    <dataValidation type="list" allowBlank="1" showErrorMessage="1" sqref="E725:E800" xr:uid="{00000000-0002-0000-0100-000000000000}">
      <formula1>"Danh từ,Động từ,Tính từ,Đại từ,Phó từ,Giới từ,Liên từ,Trợ từ,Số từ,Lượng từ"</formula1>
    </dataValidation>
    <dataValidation type="list" allowBlank="1" showErrorMessage="1" sqref="C725:C800" xr:uid="{00000000-0002-0000-0100-000001000000}">
      <formula1>" 还是打车去北大吧, 他篮球打得很好, 虽然你忘了， 但是我记得,  你穿红色的很好看,我们爱上中文课, 就要考试了,她请我们吃北京烤鸭,  一个人过年多没意思啊,我想去西安旅游, 小雪，生日快乐！,我想去一次中国,  这里比北京冷多了,第一次去中国朋友家,我最喜欢吃中国菜,我去买杯奶茶,这里比北京冷多了"</formula1>
    </dataValidation>
    <dataValidation type="list" allowBlank="1" showErrorMessage="1" sqref="H725:H800" xr:uid="{00000000-0002-0000-0100-000002000000}">
      <formula1>"1. Con người &amp; Các mối quan hệ,2. Cơ thể &amp; Sức khỏe,3. Cảm xúc &amp; Thái độ,4. Tư duy &amp; Nhận thức,5. Đời sống sinh hoạt,6. Đồ vật &amp; Công cụ,7. Địa điểm &amp; Nơi chốn,8. Giao thông &amp; Di chuyển,9. Không gian &amp; Vị trí,10. Thời gian,12. Công việc &amp; Nghề nghiệp,13. "&amp;"Miêu tả &amp; Đánh giá,14. Số lượng &amp; Đo lường,15. Công cụ ngữ pháp &amp; Cấu trúc,16. Tự nhiên"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1006"/>
  <sheetViews>
    <sheetView workbookViewId="0"/>
  </sheetViews>
  <sheetFormatPr defaultColWidth="12.6640625" defaultRowHeight="15.75" customHeight="1"/>
  <cols>
    <col min="1" max="1" width="5.6640625" customWidth="1"/>
    <col min="2" max="2" width="7.109375" customWidth="1"/>
    <col min="8" max="8" width="22.44140625" customWidth="1"/>
    <col min="9" max="9" width="26.21875" customWidth="1"/>
  </cols>
  <sheetData>
    <row r="1" spans="1:27">
      <c r="A1" s="2" t="s">
        <v>749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16</v>
      </c>
      <c r="I1" s="2" t="s">
        <v>8</v>
      </c>
      <c r="J1" s="6"/>
      <c r="K1" s="41" t="s">
        <v>9</v>
      </c>
      <c r="L1" s="42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</row>
    <row r="2" spans="1:27">
      <c r="A2" s="27">
        <v>1</v>
      </c>
      <c r="B2" s="27">
        <v>18</v>
      </c>
      <c r="C2" s="27" t="s">
        <v>1435</v>
      </c>
      <c r="D2" s="28" t="s">
        <v>1436</v>
      </c>
      <c r="E2" s="27" t="s">
        <v>23</v>
      </c>
      <c r="F2" s="28" t="s">
        <v>1437</v>
      </c>
      <c r="G2" s="27" t="s">
        <v>1438</v>
      </c>
      <c r="H2" s="9" t="s">
        <v>579</v>
      </c>
      <c r="I2" s="27"/>
      <c r="J2" s="8"/>
      <c r="K2" s="43" t="s">
        <v>16</v>
      </c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spans="1:27">
      <c r="A3" s="27">
        <v>2</v>
      </c>
      <c r="B3" s="27">
        <v>7</v>
      </c>
      <c r="C3" s="27" t="s">
        <v>1439</v>
      </c>
      <c r="D3" s="28" t="s">
        <v>1440</v>
      </c>
      <c r="E3" s="27" t="s">
        <v>105</v>
      </c>
      <c r="F3" s="28" t="s">
        <v>1441</v>
      </c>
      <c r="G3" s="27" t="s">
        <v>1442</v>
      </c>
      <c r="H3" s="9" t="s">
        <v>107</v>
      </c>
      <c r="I3" s="27"/>
      <c r="J3" s="8"/>
      <c r="K3" s="44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 spans="1:27">
      <c r="A4" s="27">
        <v>3</v>
      </c>
      <c r="B4" s="27">
        <v>6</v>
      </c>
      <c r="C4" s="27" t="s">
        <v>1443</v>
      </c>
      <c r="D4" s="28" t="s">
        <v>1221</v>
      </c>
      <c r="E4" s="27" t="s">
        <v>105</v>
      </c>
      <c r="F4" s="28" t="s">
        <v>1444</v>
      </c>
      <c r="G4" s="27" t="s">
        <v>1445</v>
      </c>
      <c r="H4" s="9" t="s">
        <v>107</v>
      </c>
      <c r="I4" s="27"/>
      <c r="J4" s="8"/>
      <c r="K4" s="45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spans="1:27">
      <c r="A5" s="27">
        <v>7</v>
      </c>
      <c r="B5" s="27">
        <v>12</v>
      </c>
      <c r="C5" s="27" t="s">
        <v>1446</v>
      </c>
      <c r="D5" s="28" t="s">
        <v>1447</v>
      </c>
      <c r="E5" s="27" t="s">
        <v>804</v>
      </c>
      <c r="F5" s="28" t="s">
        <v>1448</v>
      </c>
      <c r="G5" s="18" t="s">
        <v>1449</v>
      </c>
      <c r="H5" s="9" t="s">
        <v>30</v>
      </c>
      <c r="I5" s="27"/>
      <c r="J5" s="8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spans="1:27">
      <c r="A6" s="27">
        <v>8</v>
      </c>
      <c r="B6" s="27">
        <v>10</v>
      </c>
      <c r="C6" s="27" t="s">
        <v>1450</v>
      </c>
      <c r="D6" s="28" t="s">
        <v>1447</v>
      </c>
      <c r="E6" s="27" t="s">
        <v>54</v>
      </c>
      <c r="F6" s="28" t="s">
        <v>1448</v>
      </c>
      <c r="G6" s="18" t="s">
        <v>1451</v>
      </c>
      <c r="H6" s="9" t="s">
        <v>30</v>
      </c>
      <c r="I6" s="27"/>
      <c r="J6" s="8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</row>
    <row r="7" spans="1:27">
      <c r="A7" s="27">
        <v>9</v>
      </c>
      <c r="B7" s="27">
        <v>10</v>
      </c>
      <c r="C7" s="27" t="s">
        <v>1452</v>
      </c>
      <c r="D7" s="28" t="s">
        <v>1222</v>
      </c>
      <c r="E7" s="27" t="s">
        <v>12</v>
      </c>
      <c r="F7" s="28" t="s">
        <v>38</v>
      </c>
      <c r="G7" s="27" t="str">
        <f ca="1">IFERROR(__xludf.DUMMYFUNCTION("GOOGLETRANSLATE(D7,""zh"",""vi"")"),"quản lý")</f>
        <v>quản lý</v>
      </c>
      <c r="H7" s="9" t="s">
        <v>87</v>
      </c>
      <c r="I7" s="27"/>
      <c r="J7" s="8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 spans="1:27">
      <c r="A8" s="27">
        <v>10</v>
      </c>
      <c r="B8" s="27">
        <v>1</v>
      </c>
      <c r="C8" s="27" t="s">
        <v>1453</v>
      </c>
      <c r="D8" s="28" t="s">
        <v>1454</v>
      </c>
      <c r="E8" s="27" t="s">
        <v>12</v>
      </c>
      <c r="F8" s="28" t="s">
        <v>762</v>
      </c>
      <c r="G8" s="27" t="str">
        <f ca="1">IFERROR(__xludf.DUMMYFUNCTION("GOOGLETRANSLATE(D8,""zh"",""vi"")"),"di chuyển")</f>
        <v>di chuyển</v>
      </c>
      <c r="H8" s="9" t="s">
        <v>87</v>
      </c>
      <c r="I8" s="27"/>
      <c r="J8" s="8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</row>
    <row r="9" spans="1:27">
      <c r="A9" s="27">
        <v>11</v>
      </c>
      <c r="B9" s="27">
        <v>14</v>
      </c>
      <c r="C9" s="27" t="s">
        <v>1455</v>
      </c>
      <c r="D9" s="28" t="s">
        <v>1224</v>
      </c>
      <c r="E9" s="27" t="s">
        <v>23</v>
      </c>
      <c r="F9" s="28" t="s">
        <v>1456</v>
      </c>
      <c r="G9" s="27" t="str">
        <f ca="1">IFERROR(__xludf.DUMMYFUNCTION("GOOGLETRANSLATE(D9,""zh"",""vi"")"),"đường")</f>
        <v>đường</v>
      </c>
      <c r="H9" s="9" t="s">
        <v>94</v>
      </c>
      <c r="I9" s="27"/>
      <c r="J9" s="8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 spans="1:27">
      <c r="A10" s="27">
        <v>12</v>
      </c>
      <c r="B10" s="27">
        <v>3</v>
      </c>
      <c r="C10" s="27" t="s">
        <v>1457</v>
      </c>
      <c r="D10" s="28" t="s">
        <v>1225</v>
      </c>
      <c r="E10" s="27" t="s">
        <v>23</v>
      </c>
      <c r="F10" s="28" t="s">
        <v>1458</v>
      </c>
      <c r="G10" s="27" t="str">
        <f ca="1">IFERROR(__xludf.DUMMYFUNCTION("GOOGLETRANSLATE(D10,""zh"",""vi"")"),"văn phòng")</f>
        <v>văn phòng</v>
      </c>
      <c r="H10" s="9" t="s">
        <v>115</v>
      </c>
      <c r="I10" s="27"/>
      <c r="J10" s="8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 spans="1:27">
      <c r="A11" s="27">
        <v>13</v>
      </c>
      <c r="B11" s="27">
        <v>16</v>
      </c>
      <c r="C11" s="27" t="s">
        <v>1459</v>
      </c>
      <c r="D11" s="28" t="s">
        <v>1226</v>
      </c>
      <c r="E11" s="27" t="s">
        <v>12</v>
      </c>
      <c r="F11" s="28" t="s">
        <v>1460</v>
      </c>
      <c r="G11" s="27" t="str">
        <f ca="1">IFERROR(__xludf.DUMMYFUNCTION("GOOGLETRANSLATE(D11,""zh"",""vi"")"),"giúp đỡ")</f>
        <v>giúp đỡ</v>
      </c>
      <c r="H11" s="9" t="s">
        <v>87</v>
      </c>
      <c r="I11" s="27"/>
      <c r="J11" s="8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2" spans="1:27">
      <c r="A12" s="27">
        <v>14</v>
      </c>
      <c r="B12" s="27">
        <v>16</v>
      </c>
      <c r="C12" s="27" t="s">
        <v>1459</v>
      </c>
      <c r="D12" s="28" t="s">
        <v>1461</v>
      </c>
      <c r="E12" s="27" t="s">
        <v>23</v>
      </c>
      <c r="F12" s="28" t="s">
        <v>1462</v>
      </c>
      <c r="G12" s="27" t="str">
        <f ca="1">IFERROR(__xludf.DUMMYFUNCTION("GOOGLETRANSLATE(D12,""zh"",""vi"")"),"lớp học")</f>
        <v>lớp học</v>
      </c>
      <c r="H12" s="9" t="s">
        <v>90</v>
      </c>
      <c r="I12" s="27"/>
      <c r="J12" s="8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</row>
    <row r="13" spans="1:27">
      <c r="A13" s="27">
        <v>15</v>
      </c>
      <c r="B13" s="27">
        <v>14</v>
      </c>
      <c r="C13" s="27" t="s">
        <v>1455</v>
      </c>
      <c r="D13" s="28" t="s">
        <v>1463</v>
      </c>
      <c r="E13" s="27" t="s">
        <v>12</v>
      </c>
      <c r="F13" s="28" t="s">
        <v>1464</v>
      </c>
      <c r="G13" s="27" t="str">
        <f ca="1">IFERROR(__xludf.DUMMYFUNCTION("GOOGLETRANSLATE(D13,""zh"",""vi"")"),"di chuyển đến nơi")</f>
        <v>di chuyển đến nơi</v>
      </c>
      <c r="H13" s="9" t="s">
        <v>94</v>
      </c>
      <c r="I13" s="27"/>
      <c r="J13" s="8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</row>
    <row r="14" spans="1:27">
      <c r="A14" s="27">
        <v>16</v>
      </c>
      <c r="B14" s="27">
        <v>14</v>
      </c>
      <c r="C14" s="27" t="s">
        <v>1455</v>
      </c>
      <c r="D14" s="28" t="s">
        <v>1465</v>
      </c>
      <c r="E14" s="27" t="s">
        <v>19</v>
      </c>
      <c r="F14" s="28" t="s">
        <v>1466</v>
      </c>
      <c r="G14" s="27" t="str">
        <f ca="1">IFERROR(__xludf.DUMMYFUNCTION("GOOGLETRANSLATE(D14,""zh"",""vi"")"),"lâu rồi")</f>
        <v>lâu rồi</v>
      </c>
      <c r="H14" s="9" t="s">
        <v>87</v>
      </c>
      <c r="I14" s="27"/>
      <c r="J14" s="8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</row>
    <row r="15" spans="1:27">
      <c r="A15" s="27">
        <v>17</v>
      </c>
      <c r="B15" s="27">
        <v>16</v>
      </c>
      <c r="C15" s="27" t="s">
        <v>1459</v>
      </c>
      <c r="D15" s="28" t="s">
        <v>1227</v>
      </c>
      <c r="E15" s="27" t="s">
        <v>105</v>
      </c>
      <c r="F15" s="28" t="s">
        <v>1467</v>
      </c>
      <c r="G15" s="27" t="str">
        <f ca="1">IFERROR(__xludf.DUMMYFUNCTION("GOOGLETRANSLATE(D15,""zh"",""vi"")"),"đầy")</f>
        <v>đầy</v>
      </c>
      <c r="H15" s="9" t="s">
        <v>21</v>
      </c>
      <c r="I15" s="27"/>
      <c r="J15" s="8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</row>
    <row r="16" spans="1:27">
      <c r="A16" s="27">
        <v>18</v>
      </c>
      <c r="B16" s="27">
        <v>13</v>
      </c>
      <c r="C16" s="27" t="s">
        <v>1468</v>
      </c>
      <c r="D16" s="28" t="s">
        <v>1229</v>
      </c>
      <c r="E16" s="27" t="s">
        <v>23</v>
      </c>
      <c r="F16" s="28" t="s">
        <v>1469</v>
      </c>
      <c r="G16" s="27" t="str">
        <f ca="1">IFERROR(__xludf.DUMMYFUNCTION("GOOGLETRANSLATE(D16,""zh"",""vi"")"),"báo")</f>
        <v>báo</v>
      </c>
      <c r="H16" s="9" t="s">
        <v>87</v>
      </c>
      <c r="I16" s="27"/>
      <c r="J16" s="8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</row>
    <row r="17" spans="1:27">
      <c r="A17" s="27">
        <v>19</v>
      </c>
      <c r="B17" s="27">
        <v>12</v>
      </c>
      <c r="C17" s="27" t="s">
        <v>1446</v>
      </c>
      <c r="D17" s="28" t="s">
        <v>1470</v>
      </c>
      <c r="E17" s="27" t="s">
        <v>804</v>
      </c>
      <c r="F17" s="28" t="s">
        <v>1471</v>
      </c>
      <c r="G17" s="27" t="s">
        <v>1472</v>
      </c>
      <c r="H17" s="9" t="s">
        <v>30</v>
      </c>
      <c r="I17" s="27"/>
      <c r="J17" s="8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</row>
    <row r="18" spans="1:27">
      <c r="A18" s="27">
        <v>20</v>
      </c>
      <c r="B18" s="27">
        <v>12</v>
      </c>
      <c r="C18" s="27" t="s">
        <v>1446</v>
      </c>
      <c r="D18" s="28" t="s">
        <v>1473</v>
      </c>
      <c r="E18" s="27" t="s">
        <v>23</v>
      </c>
      <c r="F18" s="28" t="s">
        <v>1474</v>
      </c>
      <c r="G18" s="27" t="str">
        <f ca="1">IFERROR(__xludf.DUMMYFUNCTION("GOOGLETRANSLATE(D18,""zh"",""vi"")"),"phía bắc")</f>
        <v>phía bắc</v>
      </c>
      <c r="H18" s="9" t="s">
        <v>48</v>
      </c>
      <c r="I18" s="27"/>
      <c r="J18" s="8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</row>
    <row r="19" spans="1:27">
      <c r="A19" s="27">
        <v>21</v>
      </c>
      <c r="B19" s="27">
        <v>13</v>
      </c>
      <c r="C19" s="27" t="s">
        <v>1468</v>
      </c>
      <c r="D19" s="28" t="s">
        <v>1230</v>
      </c>
      <c r="E19" s="27" t="s">
        <v>23</v>
      </c>
      <c r="F19" s="28" t="s">
        <v>1475</v>
      </c>
      <c r="G19" s="27" t="str">
        <f ca="1">IFERROR(__xludf.DUMMYFUNCTION("GOOGLETRANSLATE(D19,""zh"",""vi"")"),"phía bắc")</f>
        <v>phía bắc</v>
      </c>
      <c r="H19" s="9" t="s">
        <v>48</v>
      </c>
      <c r="I19" s="27"/>
      <c r="J19" s="8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</row>
    <row r="20" spans="1:27">
      <c r="A20" s="27">
        <v>22</v>
      </c>
      <c r="B20" s="27">
        <v>12</v>
      </c>
      <c r="C20" s="27" t="s">
        <v>1446</v>
      </c>
      <c r="D20" s="28" t="s">
        <v>1235</v>
      </c>
      <c r="E20" s="27" t="s">
        <v>12</v>
      </c>
      <c r="F20" s="28" t="s">
        <v>1476</v>
      </c>
      <c r="G20" s="27" t="str">
        <f ca="1">IFERROR(__xludf.DUMMYFUNCTION("GOOGLETRANSLATE(D20,""zh"",""vi"")"),"trở nên")</f>
        <v>trở nên</v>
      </c>
      <c r="H20" s="9" t="s">
        <v>87</v>
      </c>
      <c r="I20" s="27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</row>
    <row r="21" spans="1:27">
      <c r="A21" s="27">
        <v>23</v>
      </c>
      <c r="B21" s="27">
        <v>12</v>
      </c>
      <c r="C21" s="27" t="s">
        <v>1446</v>
      </c>
      <c r="D21" s="28" t="s">
        <v>1477</v>
      </c>
      <c r="E21" s="27" t="s">
        <v>451</v>
      </c>
      <c r="F21" s="28" t="s">
        <v>1478</v>
      </c>
      <c r="G21" s="27" t="str">
        <f ca="1">IFERROR(__xludf.DUMMYFUNCTION("GOOGLETRANSLATE(D21,""zh"",""vi"")"),"thay đổi")</f>
        <v>thay đổi</v>
      </c>
      <c r="H21" s="9" t="s">
        <v>87</v>
      </c>
      <c r="I21" s="27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 spans="1:27">
      <c r="A22" s="27">
        <v>24</v>
      </c>
      <c r="B22" s="27">
        <v>14</v>
      </c>
      <c r="C22" s="29" t="s">
        <v>1455</v>
      </c>
      <c r="D22" s="28" t="s">
        <v>1479</v>
      </c>
      <c r="E22" s="27" t="s">
        <v>12</v>
      </c>
      <c r="F22" s="28" t="s">
        <v>1480</v>
      </c>
      <c r="G22" s="27" t="s">
        <v>1481</v>
      </c>
      <c r="H22" s="9" t="s">
        <v>87</v>
      </c>
      <c r="I22" s="27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 spans="1:27">
      <c r="A23" s="27">
        <v>25</v>
      </c>
      <c r="B23" s="27">
        <v>11</v>
      </c>
      <c r="C23" s="29" t="s">
        <v>1482</v>
      </c>
      <c r="D23" s="28" t="s">
        <v>1483</v>
      </c>
      <c r="E23" s="27" t="s">
        <v>109</v>
      </c>
      <c r="F23" s="28" t="s">
        <v>1484</v>
      </c>
      <c r="G23" s="27" t="str">
        <f ca="1">IFERROR(__xludf.DUMMYFUNCTION("GOOGLETRANSLATE(D23,""zh"",""vi"")"),"những người khác")</f>
        <v>những người khác</v>
      </c>
      <c r="H23" s="9" t="s">
        <v>30</v>
      </c>
      <c r="I23" s="27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</row>
    <row r="24" spans="1:27">
      <c r="A24" s="27">
        <v>26</v>
      </c>
      <c r="B24" s="27">
        <v>10</v>
      </c>
      <c r="C24" s="29" t="s">
        <v>1485</v>
      </c>
      <c r="D24" s="28" t="s">
        <v>1232</v>
      </c>
      <c r="E24" s="27" t="s">
        <v>23</v>
      </c>
      <c r="F24" s="28" t="s">
        <v>1486</v>
      </c>
      <c r="G24" s="27" t="str">
        <f ca="1">IFERROR(__xludf.DUMMYFUNCTION("GOOGLETRANSLATE(D24,""zh"",""vi"")"),"ghi chú")</f>
        <v>ghi chú</v>
      </c>
      <c r="H24" s="9" t="s">
        <v>48</v>
      </c>
      <c r="I24" s="27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</row>
    <row r="25" spans="1:27">
      <c r="A25" s="27">
        <v>27</v>
      </c>
      <c r="B25" s="27">
        <v>5</v>
      </c>
      <c r="C25" s="29" t="s">
        <v>1487</v>
      </c>
      <c r="D25" s="28" t="s">
        <v>1488</v>
      </c>
      <c r="E25" s="27" t="s">
        <v>1489</v>
      </c>
      <c r="F25" s="28" t="s">
        <v>1490</v>
      </c>
      <c r="G25" s="27" t="str">
        <f ca="1">IFERROR(__xludf.DUMMYFUNCTION("GOOGLETRANSLATE(D25,""zh"",""vi"")"),"So sánh")</f>
        <v>So sánh</v>
      </c>
      <c r="H25" s="9" t="s">
        <v>30</v>
      </c>
      <c r="I25" s="27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</row>
    <row r="26" spans="1:27">
      <c r="A26" s="27">
        <v>28</v>
      </c>
      <c r="B26" s="27">
        <v>11</v>
      </c>
      <c r="C26" s="29" t="s">
        <v>1450</v>
      </c>
      <c r="D26" s="28" t="s">
        <v>1233</v>
      </c>
      <c r="E26" s="27" t="s">
        <v>23</v>
      </c>
      <c r="F26" s="28" t="s">
        <v>1491</v>
      </c>
      <c r="G26" s="27" t="str">
        <f ca="1">IFERROR(__xludf.DUMMYFUNCTION("GOOGLETRANSLATE(D26,""zh"",""vi"")"),"sổ tay")</f>
        <v>sổ tay</v>
      </c>
      <c r="H26" s="9" t="s">
        <v>48</v>
      </c>
      <c r="I26" s="27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spans="1:27">
      <c r="A27" s="27">
        <v>29</v>
      </c>
      <c r="B27" s="27">
        <v>7</v>
      </c>
      <c r="C27" s="29" t="s">
        <v>1439</v>
      </c>
      <c r="D27" s="28" t="s">
        <v>1492</v>
      </c>
      <c r="E27" s="27" t="s">
        <v>23</v>
      </c>
      <c r="F27" s="28" t="s">
        <v>1493</v>
      </c>
      <c r="G27" s="27" t="str">
        <f ca="1">IFERROR(__xludf.DUMMYFUNCTION("GOOGLETRANSLATE(D27,""zh"",""vi"")"),"đá")</f>
        <v>đá</v>
      </c>
      <c r="H27" s="9" t="s">
        <v>48</v>
      </c>
      <c r="I27" s="27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</row>
    <row r="28" spans="1:27">
      <c r="A28" s="27">
        <v>30</v>
      </c>
      <c r="B28" s="27">
        <v>8</v>
      </c>
      <c r="C28" s="29" t="s">
        <v>1494</v>
      </c>
      <c r="D28" s="28" t="s">
        <v>66</v>
      </c>
      <c r="E28" s="27" t="s">
        <v>23</v>
      </c>
      <c r="F28" s="28" t="s">
        <v>67</v>
      </c>
      <c r="G28" s="27" t="s">
        <v>68</v>
      </c>
      <c r="H28" s="30" t="s">
        <v>64</v>
      </c>
      <c r="I28" s="27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</row>
    <row r="29" spans="1:27">
      <c r="A29" s="27">
        <v>31</v>
      </c>
      <c r="B29" s="27">
        <v>4</v>
      </c>
      <c r="C29" s="29" t="s">
        <v>1495</v>
      </c>
      <c r="D29" s="28" t="s">
        <v>1496</v>
      </c>
      <c r="E29" s="27" t="s">
        <v>23</v>
      </c>
      <c r="F29" s="28" t="s">
        <v>1497</v>
      </c>
      <c r="G29" s="27" t="str">
        <f ca="1">IFERROR(__xludf.DUMMYFUNCTION("GOOGLETRANSLATE(D29,""zh"",""vi"")"),"Khách sạn")</f>
        <v>Khách sạn</v>
      </c>
      <c r="H29" s="9" t="s">
        <v>90</v>
      </c>
      <c r="I29" s="27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</row>
    <row r="30" spans="1:27">
      <c r="A30" s="27">
        <v>32</v>
      </c>
      <c r="B30" s="27">
        <v>3</v>
      </c>
      <c r="C30" s="29" t="s">
        <v>1457</v>
      </c>
      <c r="D30" s="28" t="s">
        <v>1498</v>
      </c>
      <c r="E30" s="27" t="s">
        <v>23</v>
      </c>
      <c r="F30" s="28" t="s">
        <v>1499</v>
      </c>
      <c r="G30" s="27" t="str">
        <f ca="1">IFERROR(__xludf.DUMMYFUNCTION("GOOGLETRANSLATE(D30,""zh"",""vi"")"),"tủ lạnh")</f>
        <v>tủ lạnh</v>
      </c>
      <c r="H30" s="9" t="s">
        <v>107</v>
      </c>
      <c r="I30" s="27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</row>
    <row r="31" spans="1:27">
      <c r="A31" s="27">
        <v>33</v>
      </c>
      <c r="B31" s="27">
        <v>17</v>
      </c>
      <c r="C31" s="29" t="s">
        <v>1500</v>
      </c>
      <c r="D31" s="28" t="s">
        <v>1231</v>
      </c>
      <c r="E31" s="27" t="s">
        <v>12</v>
      </c>
      <c r="F31" s="28" t="s">
        <v>1501</v>
      </c>
      <c r="G31" s="27" t="str">
        <f ca="1">IFERROR(__xludf.DUMMYFUNCTION("GOOGLETRANSLATE(D31,""zh"",""vi"")"),"Ví dụ")</f>
        <v>Ví dụ</v>
      </c>
      <c r="H31" s="9" t="s">
        <v>87</v>
      </c>
      <c r="I31" s="27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</row>
    <row r="32" spans="1:27">
      <c r="A32" s="27">
        <v>34</v>
      </c>
      <c r="B32" s="27">
        <v>9</v>
      </c>
      <c r="C32" s="29" t="s">
        <v>1502</v>
      </c>
      <c r="D32" s="28" t="s">
        <v>1503</v>
      </c>
      <c r="E32" s="27" t="s">
        <v>23</v>
      </c>
      <c r="F32" s="28" t="s">
        <v>1504</v>
      </c>
      <c r="G32" s="27" t="str">
        <f ca="1">IFERROR(__xludf.DUMMYFUNCTION("GOOGLETRANSLATE(D32,""zh"",""vi"")"),"Cuộc thi")</f>
        <v>Cuộc thi</v>
      </c>
      <c r="H32" s="9" t="s">
        <v>48</v>
      </c>
      <c r="I32" s="27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</row>
    <row r="33" spans="1:27">
      <c r="A33" s="27">
        <v>35</v>
      </c>
      <c r="B33" s="27">
        <v>6</v>
      </c>
      <c r="C33" s="29" t="s">
        <v>1443</v>
      </c>
      <c r="D33" s="28" t="s">
        <v>1234</v>
      </c>
      <c r="E33" s="27" t="s">
        <v>74</v>
      </c>
      <c r="F33" s="28" t="s">
        <v>1505</v>
      </c>
      <c r="G33" s="27" t="str">
        <f ca="1">IFERROR(__xludf.DUMMYFUNCTION("GOOGLETRANSLATE(D33,""zh"",""vi"")"),"phải")</f>
        <v>phải</v>
      </c>
      <c r="H33" s="9" t="s">
        <v>30</v>
      </c>
      <c r="I33" s="27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</row>
    <row r="34" spans="1:27">
      <c r="A34" s="27">
        <v>36</v>
      </c>
      <c r="B34" s="27">
        <v>13</v>
      </c>
      <c r="C34" s="29" t="s">
        <v>1468</v>
      </c>
      <c r="D34" s="28" t="s">
        <v>1244</v>
      </c>
      <c r="E34" s="27"/>
      <c r="F34" s="28" t="s">
        <v>1506</v>
      </c>
      <c r="G34" s="27" t="str">
        <f ca="1">IFERROR(__xludf.DUMMYFUNCTION("GOOGLETRANSLATE(D34,""zh"",""vi"")"),"khác biệt")</f>
        <v>khác biệt</v>
      </c>
      <c r="H34" s="9" t="s">
        <v>30</v>
      </c>
      <c r="I34" s="27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</row>
    <row r="35" spans="1:27">
      <c r="A35" s="27">
        <v>37</v>
      </c>
      <c r="B35" s="27">
        <v>7</v>
      </c>
      <c r="C35" s="29" t="s">
        <v>1439</v>
      </c>
      <c r="D35" s="28" t="s">
        <v>1238</v>
      </c>
      <c r="E35" s="27" t="s">
        <v>819</v>
      </c>
      <c r="F35" s="28" t="s">
        <v>1507</v>
      </c>
      <c r="G35" s="27" t="str">
        <f ca="1">IFERROR(__xludf.DUMMYFUNCTION("GOOGLETRANSLATE(D35,""zh"",""vi"")"),"Không chỉ")</f>
        <v>Không chỉ</v>
      </c>
      <c r="H35" s="9" t="s">
        <v>30</v>
      </c>
      <c r="I35" s="27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</row>
    <row r="36" spans="1:27">
      <c r="A36" s="27">
        <v>39</v>
      </c>
      <c r="B36" s="27">
        <v>18</v>
      </c>
      <c r="C36" s="29" t="s">
        <v>1435</v>
      </c>
      <c r="D36" s="28" t="s">
        <v>1241</v>
      </c>
      <c r="E36" s="27" t="s">
        <v>105</v>
      </c>
      <c r="F36" s="28" t="s">
        <v>1508</v>
      </c>
      <c r="G36" s="27" t="str">
        <f ca="1">IFERROR(__xludf.DUMMYFUNCTION("GOOGLETRANSLATE(D36,""zh"",""vi"")"),"sớm")</f>
        <v>sớm</v>
      </c>
      <c r="H36" s="9" t="s">
        <v>107</v>
      </c>
      <c r="I36" s="27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</row>
    <row r="37" spans="1:27">
      <c r="A37" s="27">
        <v>40</v>
      </c>
      <c r="B37" s="27">
        <v>3</v>
      </c>
      <c r="C37" s="29" t="s">
        <v>1457</v>
      </c>
      <c r="D37" s="27" t="s">
        <v>1509</v>
      </c>
      <c r="E37" s="27" t="s">
        <v>74</v>
      </c>
      <c r="F37" s="27" t="s">
        <v>193</v>
      </c>
      <c r="G37" s="27" t="s">
        <v>1510</v>
      </c>
      <c r="H37" s="9" t="s">
        <v>30</v>
      </c>
      <c r="I37" s="27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</row>
    <row r="38" spans="1:27">
      <c r="A38" s="27">
        <v>41</v>
      </c>
      <c r="B38" s="27">
        <v>2</v>
      </c>
      <c r="C38" s="29" t="s">
        <v>1511</v>
      </c>
      <c r="D38" s="27" t="s">
        <v>1246</v>
      </c>
      <c r="E38" s="27" t="s">
        <v>23</v>
      </c>
      <c r="F38" s="27" t="s">
        <v>1512</v>
      </c>
      <c r="G38" s="27" t="s">
        <v>1513</v>
      </c>
      <c r="H38" s="9" t="s">
        <v>48</v>
      </c>
      <c r="I38" s="27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</row>
    <row r="39" spans="1:27">
      <c r="A39" s="27">
        <v>42</v>
      </c>
      <c r="B39" s="27">
        <v>9</v>
      </c>
      <c r="C39" s="29" t="s">
        <v>1502</v>
      </c>
      <c r="D39" s="27" t="s">
        <v>1248</v>
      </c>
      <c r="E39" s="27" t="s">
        <v>12</v>
      </c>
      <c r="F39" s="27" t="s">
        <v>1514</v>
      </c>
      <c r="G39" s="27" t="s">
        <v>1515</v>
      </c>
      <c r="H39" s="9" t="s">
        <v>87</v>
      </c>
      <c r="I39" s="27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</row>
    <row r="40" spans="1:27">
      <c r="A40" s="27">
        <v>43</v>
      </c>
      <c r="B40" s="27">
        <v>15</v>
      </c>
      <c r="C40" s="29" t="s">
        <v>1516</v>
      </c>
      <c r="D40" s="27" t="s">
        <v>1249</v>
      </c>
      <c r="E40" s="27" t="s">
        <v>23</v>
      </c>
      <c r="F40" s="27" t="s">
        <v>1517</v>
      </c>
      <c r="G40" s="27" t="s">
        <v>1518</v>
      </c>
      <c r="H40" s="9" t="s">
        <v>48</v>
      </c>
      <c r="I40" s="27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</row>
    <row r="41" spans="1:27">
      <c r="A41" s="27">
        <v>44</v>
      </c>
      <c r="B41" s="27">
        <v>4</v>
      </c>
      <c r="C41" s="29" t="s">
        <v>1495</v>
      </c>
      <c r="D41" s="27" t="s">
        <v>1519</v>
      </c>
      <c r="E41" s="27" t="s">
        <v>23</v>
      </c>
      <c r="F41" s="27" t="s">
        <v>1520</v>
      </c>
      <c r="G41" s="27" t="s">
        <v>1521</v>
      </c>
      <c r="H41" s="9" t="s">
        <v>48</v>
      </c>
      <c r="I41" s="27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</row>
    <row r="42" spans="1:27">
      <c r="A42" s="27">
        <v>45</v>
      </c>
      <c r="B42" s="27">
        <v>3</v>
      </c>
      <c r="C42" s="29" t="s">
        <v>1457</v>
      </c>
      <c r="D42" s="27" t="s">
        <v>1250</v>
      </c>
      <c r="E42" s="27" t="s">
        <v>23</v>
      </c>
      <c r="F42" s="27" t="s">
        <v>1522</v>
      </c>
      <c r="G42" s="27" t="s">
        <v>1251</v>
      </c>
      <c r="H42" s="9" t="s">
        <v>48</v>
      </c>
      <c r="I42" s="27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</row>
    <row r="43" spans="1:27">
      <c r="A43" s="27">
        <v>46</v>
      </c>
      <c r="B43" s="27">
        <v>17</v>
      </c>
      <c r="C43" s="29" t="s">
        <v>1500</v>
      </c>
      <c r="D43" s="27" t="s">
        <v>1252</v>
      </c>
      <c r="E43" s="27" t="s">
        <v>12</v>
      </c>
      <c r="F43" s="27" t="s">
        <v>84</v>
      </c>
      <c r="G43" s="27" t="s">
        <v>1523</v>
      </c>
      <c r="H43" s="9" t="s">
        <v>64</v>
      </c>
      <c r="I43" s="27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</row>
    <row r="44" spans="1:27">
      <c r="A44" s="27">
        <v>47</v>
      </c>
      <c r="B44" s="27">
        <v>10</v>
      </c>
      <c r="C44" s="29" t="s">
        <v>1485</v>
      </c>
      <c r="D44" s="27" t="s">
        <v>1524</v>
      </c>
      <c r="E44" s="27" t="s">
        <v>1525</v>
      </c>
      <c r="F44" s="27" t="s">
        <v>1526</v>
      </c>
      <c r="G44" s="27" t="s">
        <v>1527</v>
      </c>
      <c r="H44" s="9" t="s">
        <v>87</v>
      </c>
      <c r="I44" s="27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</row>
    <row r="45" spans="1:27">
      <c r="A45" s="27">
        <v>48</v>
      </c>
      <c r="B45" s="27">
        <v>8</v>
      </c>
      <c r="C45" s="29" t="s">
        <v>1494</v>
      </c>
      <c r="D45" s="27" t="s">
        <v>1253</v>
      </c>
      <c r="E45" s="27" t="s">
        <v>1528</v>
      </c>
      <c r="F45" s="27" t="s">
        <v>1529</v>
      </c>
      <c r="G45" s="27" t="s">
        <v>1530</v>
      </c>
      <c r="H45" s="9" t="s">
        <v>30</v>
      </c>
      <c r="I45" s="27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</row>
    <row r="46" spans="1:27">
      <c r="A46" s="27">
        <v>49</v>
      </c>
      <c r="B46" s="27">
        <v>2</v>
      </c>
      <c r="C46" s="29" t="s">
        <v>1511</v>
      </c>
      <c r="D46" s="27" t="s">
        <v>1531</v>
      </c>
      <c r="E46" s="27" t="s">
        <v>12</v>
      </c>
      <c r="F46" s="27" t="s">
        <v>785</v>
      </c>
      <c r="G46" s="27" t="s">
        <v>1532</v>
      </c>
      <c r="H46" s="9" t="s">
        <v>87</v>
      </c>
      <c r="I46" s="27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</row>
    <row r="47" spans="1:27">
      <c r="A47" s="27">
        <v>50</v>
      </c>
      <c r="B47" s="27">
        <v>8</v>
      </c>
      <c r="C47" s="29" t="s">
        <v>1494</v>
      </c>
      <c r="D47" s="27" t="s">
        <v>1533</v>
      </c>
      <c r="E47" s="27" t="s">
        <v>74</v>
      </c>
      <c r="F47" s="27" t="s">
        <v>785</v>
      </c>
      <c r="G47" s="27" t="s">
        <v>1534</v>
      </c>
      <c r="H47" s="9" t="s">
        <v>30</v>
      </c>
      <c r="I47" s="27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</row>
    <row r="48" spans="1:27">
      <c r="A48" s="27">
        <v>51</v>
      </c>
      <c r="B48" s="27">
        <v>12</v>
      </c>
      <c r="C48" s="29" t="s">
        <v>1446</v>
      </c>
      <c r="D48" s="27" t="s">
        <v>1535</v>
      </c>
      <c r="E48" s="27" t="s">
        <v>74</v>
      </c>
      <c r="F48" s="27" t="s">
        <v>1536</v>
      </c>
      <c r="G48" s="27" t="s">
        <v>1537</v>
      </c>
      <c r="H48" s="9" t="s">
        <v>30</v>
      </c>
      <c r="I48" s="27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</row>
    <row r="49" spans="1:27">
      <c r="A49" s="27">
        <v>52</v>
      </c>
      <c r="B49" s="27">
        <v>17</v>
      </c>
      <c r="C49" s="29" t="s">
        <v>1500</v>
      </c>
      <c r="D49" s="27" t="s">
        <v>1254</v>
      </c>
      <c r="E49" s="27"/>
      <c r="F49" s="27" t="s">
        <v>1538</v>
      </c>
      <c r="G49" s="27" t="s">
        <v>1539</v>
      </c>
      <c r="H49" s="9" t="s">
        <v>87</v>
      </c>
      <c r="I49" s="27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</row>
    <row r="50" spans="1:27">
      <c r="A50" s="27">
        <v>53</v>
      </c>
      <c r="B50" s="27">
        <v>6</v>
      </c>
      <c r="C50" s="29" t="s">
        <v>1443</v>
      </c>
      <c r="D50" s="27" t="s">
        <v>1255</v>
      </c>
      <c r="E50" s="27"/>
      <c r="F50" s="27" t="s">
        <v>1540</v>
      </c>
      <c r="G50" s="27" t="s">
        <v>1541</v>
      </c>
      <c r="H50" s="9" t="s">
        <v>87</v>
      </c>
      <c r="I50" s="27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</row>
    <row r="51" spans="1:27">
      <c r="A51" s="27">
        <v>54</v>
      </c>
      <c r="B51" s="27">
        <v>9</v>
      </c>
      <c r="C51" s="29" t="s">
        <v>1502</v>
      </c>
      <c r="D51" s="27" t="s">
        <v>1258</v>
      </c>
      <c r="E51" s="27" t="s">
        <v>23</v>
      </c>
      <c r="F51" s="27" t="s">
        <v>1542</v>
      </c>
      <c r="G51" s="27" t="s">
        <v>1543</v>
      </c>
      <c r="H51" s="9" t="s">
        <v>94</v>
      </c>
      <c r="I51" s="27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</row>
    <row r="52" spans="1:27">
      <c r="A52" s="27">
        <v>55</v>
      </c>
      <c r="B52" s="27">
        <v>11</v>
      </c>
      <c r="C52" s="29" t="s">
        <v>1450</v>
      </c>
      <c r="D52" s="27" t="s">
        <v>1544</v>
      </c>
      <c r="E52" s="27" t="s">
        <v>23</v>
      </c>
      <c r="F52" s="27" t="s">
        <v>1545</v>
      </c>
      <c r="G52" s="27" t="s">
        <v>1546</v>
      </c>
      <c r="H52" s="9" t="s">
        <v>90</v>
      </c>
      <c r="I52" s="27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</row>
    <row r="53" spans="1:27">
      <c r="A53" s="27">
        <v>56</v>
      </c>
      <c r="B53" s="27">
        <v>6</v>
      </c>
      <c r="C53" s="29" t="s">
        <v>1443</v>
      </c>
      <c r="D53" s="27" t="s">
        <v>1547</v>
      </c>
      <c r="E53" s="27" t="s">
        <v>12</v>
      </c>
      <c r="F53" s="27" t="s">
        <v>1548</v>
      </c>
      <c r="G53" s="27" t="s">
        <v>1549</v>
      </c>
      <c r="H53" s="9" t="s">
        <v>94</v>
      </c>
      <c r="I53" s="27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</row>
    <row r="54" spans="1:27">
      <c r="A54" s="27">
        <v>57</v>
      </c>
      <c r="B54" s="27">
        <v>6</v>
      </c>
      <c r="C54" s="29" t="s">
        <v>1443</v>
      </c>
      <c r="D54" s="27" t="s">
        <v>1550</v>
      </c>
      <c r="E54" s="27" t="s">
        <v>23</v>
      </c>
      <c r="F54" s="27" t="s">
        <v>1551</v>
      </c>
      <c r="G54" s="27" t="s">
        <v>1552</v>
      </c>
      <c r="H54" s="9" t="s">
        <v>90</v>
      </c>
      <c r="I54" s="27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</row>
    <row r="55" spans="1:27">
      <c r="A55" s="27">
        <v>58</v>
      </c>
      <c r="B55" s="27">
        <v>18</v>
      </c>
      <c r="C55" s="29" t="s">
        <v>1435</v>
      </c>
      <c r="D55" s="27" t="s">
        <v>1261</v>
      </c>
      <c r="E55" s="27" t="s">
        <v>12</v>
      </c>
      <c r="F55" s="27" t="s">
        <v>1553</v>
      </c>
      <c r="G55" s="27" t="s">
        <v>1554</v>
      </c>
      <c r="H55" s="9" t="s">
        <v>87</v>
      </c>
      <c r="I55" s="27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</row>
    <row r="56" spans="1:27">
      <c r="A56" s="27">
        <v>59</v>
      </c>
      <c r="B56" s="27">
        <v>18</v>
      </c>
      <c r="C56" s="29" t="s">
        <v>1435</v>
      </c>
      <c r="D56" s="27" t="s">
        <v>1262</v>
      </c>
      <c r="E56" s="27" t="s">
        <v>12</v>
      </c>
      <c r="F56" s="27" t="s">
        <v>1555</v>
      </c>
      <c r="G56" s="27" t="s">
        <v>1556</v>
      </c>
      <c r="H56" s="9" t="s">
        <v>87</v>
      </c>
      <c r="I56" s="27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</row>
    <row r="57" spans="1:27">
      <c r="A57" s="27">
        <v>60</v>
      </c>
      <c r="B57" s="27">
        <v>8</v>
      </c>
      <c r="C57" s="29" t="s">
        <v>1494</v>
      </c>
      <c r="D57" s="27" t="s">
        <v>1264</v>
      </c>
      <c r="E57" s="27" t="s">
        <v>12</v>
      </c>
      <c r="F57" s="27" t="s">
        <v>1557</v>
      </c>
      <c r="G57" s="27" t="s">
        <v>1558</v>
      </c>
      <c r="H57" s="9" t="s">
        <v>48</v>
      </c>
      <c r="I57" s="27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</row>
    <row r="58" spans="1:27">
      <c r="A58" s="27">
        <v>61</v>
      </c>
      <c r="B58" s="27">
        <v>3</v>
      </c>
      <c r="C58" s="29" t="s">
        <v>1457</v>
      </c>
      <c r="D58" s="27" t="s">
        <v>1559</v>
      </c>
      <c r="E58" s="27" t="s">
        <v>23</v>
      </c>
      <c r="F58" s="27" t="s">
        <v>1560</v>
      </c>
      <c r="G58" s="27" t="s">
        <v>1561</v>
      </c>
      <c r="H58" s="9" t="s">
        <v>90</v>
      </c>
      <c r="I58" s="27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</row>
    <row r="59" spans="1:27">
      <c r="A59" s="27">
        <v>62</v>
      </c>
      <c r="B59" s="27">
        <v>4</v>
      </c>
      <c r="C59" s="29" t="s">
        <v>1495</v>
      </c>
      <c r="D59" s="27" t="s">
        <v>1562</v>
      </c>
      <c r="E59" s="27" t="s">
        <v>804</v>
      </c>
      <c r="F59" s="27" t="s">
        <v>1563</v>
      </c>
      <c r="G59" s="27" t="s">
        <v>1564</v>
      </c>
      <c r="H59" s="9" t="s">
        <v>30</v>
      </c>
      <c r="I59" s="27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</row>
    <row r="60" spans="1:27">
      <c r="A60" s="27">
        <v>63</v>
      </c>
      <c r="B60" s="27">
        <v>12</v>
      </c>
      <c r="C60" s="29" t="s">
        <v>1446</v>
      </c>
      <c r="D60" s="27" t="s">
        <v>1266</v>
      </c>
      <c r="E60" s="27" t="s">
        <v>23</v>
      </c>
      <c r="F60" s="27" t="s">
        <v>1565</v>
      </c>
      <c r="G60" s="27" t="s">
        <v>1566</v>
      </c>
      <c r="H60" s="9" t="s">
        <v>94</v>
      </c>
      <c r="I60" s="27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 spans="1:27">
      <c r="A61" s="27">
        <v>64</v>
      </c>
      <c r="B61" s="27">
        <v>12</v>
      </c>
      <c r="C61" s="29" t="s">
        <v>1446</v>
      </c>
      <c r="D61" s="27" t="s">
        <v>1268</v>
      </c>
      <c r="E61" s="27" t="s">
        <v>23</v>
      </c>
      <c r="F61" s="27" t="s">
        <v>1567</v>
      </c>
      <c r="G61" s="27" t="s">
        <v>1568</v>
      </c>
      <c r="H61" s="9" t="s">
        <v>34</v>
      </c>
      <c r="I61" s="27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</row>
    <row r="62" spans="1:27">
      <c r="A62" s="27">
        <v>65</v>
      </c>
      <c r="B62" s="27">
        <v>14</v>
      </c>
      <c r="C62" s="29" t="s">
        <v>1455</v>
      </c>
      <c r="D62" s="27" t="s">
        <v>1269</v>
      </c>
      <c r="E62" s="27" t="s">
        <v>23</v>
      </c>
      <c r="F62" s="27" t="s">
        <v>1569</v>
      </c>
      <c r="G62" s="27" t="s">
        <v>1570</v>
      </c>
      <c r="H62" s="9" t="s">
        <v>94</v>
      </c>
      <c r="I62" s="27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</row>
    <row r="63" spans="1:27">
      <c r="A63" s="27">
        <v>66</v>
      </c>
      <c r="B63" s="27">
        <v>17</v>
      </c>
      <c r="C63" s="29" t="s">
        <v>1500</v>
      </c>
      <c r="D63" s="27" t="s">
        <v>1571</v>
      </c>
      <c r="E63" s="27" t="s">
        <v>105</v>
      </c>
      <c r="F63" s="27" t="s">
        <v>1572</v>
      </c>
      <c r="G63" s="27" t="s">
        <v>1573</v>
      </c>
      <c r="H63" s="9" t="s">
        <v>107</v>
      </c>
      <c r="I63" s="27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</row>
    <row r="64" spans="1:27">
      <c r="A64" s="27">
        <v>67</v>
      </c>
      <c r="B64" s="27">
        <v>17</v>
      </c>
      <c r="C64" s="29" t="s">
        <v>1500</v>
      </c>
      <c r="D64" s="27" t="s">
        <v>808</v>
      </c>
      <c r="E64" s="27" t="s">
        <v>105</v>
      </c>
      <c r="F64" s="27" t="s">
        <v>809</v>
      </c>
      <c r="G64" s="27" t="s">
        <v>1574</v>
      </c>
      <c r="H64" s="9" t="s">
        <v>107</v>
      </c>
      <c r="I64" s="27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</row>
    <row r="65" spans="1:27">
      <c r="A65" s="27">
        <v>68</v>
      </c>
      <c r="B65" s="28">
        <v>3</v>
      </c>
      <c r="C65" s="29" t="s">
        <v>1457</v>
      </c>
      <c r="D65" s="28" t="s">
        <v>1575</v>
      </c>
      <c r="E65" s="27" t="s">
        <v>12</v>
      </c>
      <c r="F65" s="28" t="s">
        <v>1576</v>
      </c>
      <c r="G65" s="28" t="s">
        <v>1577</v>
      </c>
      <c r="H65" s="9" t="s">
        <v>87</v>
      </c>
      <c r="I65" s="27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</row>
    <row r="66" spans="1:27">
      <c r="A66" s="27">
        <v>69</v>
      </c>
      <c r="B66" s="28">
        <v>6</v>
      </c>
      <c r="C66" s="29" t="s">
        <v>1443</v>
      </c>
      <c r="D66" s="28" t="s">
        <v>1273</v>
      </c>
      <c r="E66" s="27" t="s">
        <v>451</v>
      </c>
      <c r="F66" s="28" t="s">
        <v>1578</v>
      </c>
      <c r="G66" s="28" t="s">
        <v>1579</v>
      </c>
      <c r="H66" s="9" t="s">
        <v>107</v>
      </c>
      <c r="I66" s="27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</row>
    <row r="67" spans="1:27">
      <c r="A67" s="27">
        <v>70</v>
      </c>
      <c r="B67" s="28">
        <v>18</v>
      </c>
      <c r="C67" s="29" t="s">
        <v>1435</v>
      </c>
      <c r="D67" s="28" t="s">
        <v>1580</v>
      </c>
      <c r="E67" s="27" t="s">
        <v>1581</v>
      </c>
      <c r="F67" s="28" t="s">
        <v>1582</v>
      </c>
      <c r="G67" s="28" t="s">
        <v>1583</v>
      </c>
      <c r="H67" s="9" t="s">
        <v>30</v>
      </c>
      <c r="I67" s="27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</row>
    <row r="68" spans="1:27">
      <c r="A68" s="27">
        <v>71</v>
      </c>
      <c r="B68" s="28">
        <v>16</v>
      </c>
      <c r="C68" s="29" t="s">
        <v>1459</v>
      </c>
      <c r="D68" s="28" t="s">
        <v>1277</v>
      </c>
      <c r="E68" s="27" t="s">
        <v>23</v>
      </c>
      <c r="F68" s="28" t="s">
        <v>1584</v>
      </c>
      <c r="G68" s="28" t="s">
        <v>1585</v>
      </c>
      <c r="H68" s="9" t="s">
        <v>7</v>
      </c>
      <c r="I68" s="27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</row>
    <row r="69" spans="1:27">
      <c r="A69" s="27">
        <v>72</v>
      </c>
      <c r="B69" s="27">
        <v>7</v>
      </c>
      <c r="C69" s="29" t="s">
        <v>1439</v>
      </c>
      <c r="D69" s="27" t="s">
        <v>1278</v>
      </c>
      <c r="E69" s="27" t="s">
        <v>23</v>
      </c>
      <c r="F69" s="27" t="s">
        <v>1586</v>
      </c>
      <c r="G69" s="27" t="s">
        <v>1587</v>
      </c>
      <c r="H69" s="9" t="s">
        <v>21</v>
      </c>
      <c r="I69" s="27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</row>
    <row r="70" spans="1:27">
      <c r="A70" s="27">
        <v>73</v>
      </c>
      <c r="B70" s="27">
        <v>16</v>
      </c>
      <c r="C70" s="29" t="s">
        <v>1459</v>
      </c>
      <c r="D70" s="27" t="s">
        <v>1588</v>
      </c>
      <c r="E70" s="27" t="s">
        <v>23</v>
      </c>
      <c r="F70" s="27" t="s">
        <v>1589</v>
      </c>
      <c r="G70" s="27" t="s">
        <v>1590</v>
      </c>
      <c r="H70" s="9" t="s">
        <v>48</v>
      </c>
      <c r="I70" s="27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</row>
    <row r="71" spans="1:27">
      <c r="A71" s="27">
        <v>74</v>
      </c>
      <c r="B71" s="27">
        <v>5</v>
      </c>
      <c r="C71" s="29" t="s">
        <v>1487</v>
      </c>
      <c r="D71" s="27" t="s">
        <v>1279</v>
      </c>
      <c r="E71" s="27" t="s">
        <v>23</v>
      </c>
      <c r="F71" s="27" t="s">
        <v>1591</v>
      </c>
      <c r="G71" s="27" t="s">
        <v>1592</v>
      </c>
      <c r="H71" s="9" t="s">
        <v>87</v>
      </c>
      <c r="I71" s="27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</row>
    <row r="72" spans="1:27">
      <c r="A72" s="27">
        <v>75</v>
      </c>
      <c r="B72" s="27">
        <v>1</v>
      </c>
      <c r="C72" s="29" t="s">
        <v>1453</v>
      </c>
      <c r="D72" s="27" t="s">
        <v>1281</v>
      </c>
      <c r="E72" s="27" t="s">
        <v>894</v>
      </c>
      <c r="F72" s="27" t="s">
        <v>1593</v>
      </c>
      <c r="G72" s="27" t="s">
        <v>1594</v>
      </c>
      <c r="H72" s="9" t="s">
        <v>87</v>
      </c>
      <c r="I72" s="27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</row>
    <row r="73" spans="1:27">
      <c r="A73" s="27">
        <v>76</v>
      </c>
      <c r="B73" s="27">
        <v>8</v>
      </c>
      <c r="C73" s="29" t="s">
        <v>1494</v>
      </c>
      <c r="D73" s="27" t="s">
        <v>1595</v>
      </c>
      <c r="E73" s="27" t="s">
        <v>12</v>
      </c>
      <c r="F73" s="27" t="s">
        <v>1596</v>
      </c>
      <c r="G73" s="27" t="s">
        <v>1597</v>
      </c>
      <c r="H73" s="9" t="s">
        <v>15</v>
      </c>
      <c r="I73" s="27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</row>
    <row r="74" spans="1:27">
      <c r="A74" s="27">
        <v>77</v>
      </c>
      <c r="B74" s="27">
        <v>2</v>
      </c>
      <c r="C74" s="29" t="s">
        <v>1511</v>
      </c>
      <c r="D74" s="27" t="s">
        <v>823</v>
      </c>
      <c r="E74" s="27" t="s">
        <v>23</v>
      </c>
      <c r="F74" s="27" t="s">
        <v>824</v>
      </c>
      <c r="G74" s="27" t="s">
        <v>1598</v>
      </c>
      <c r="H74" s="9" t="s">
        <v>87</v>
      </c>
      <c r="I74" s="27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</row>
    <row r="75" spans="1:27">
      <c r="A75" s="27">
        <v>78</v>
      </c>
      <c r="B75" s="27">
        <v>10</v>
      </c>
      <c r="C75" s="29" t="s">
        <v>1485</v>
      </c>
      <c r="D75" s="27" t="s">
        <v>1599</v>
      </c>
      <c r="E75" s="27" t="s">
        <v>74</v>
      </c>
      <c r="F75" s="27" t="s">
        <v>1600</v>
      </c>
      <c r="G75" s="27" t="s">
        <v>1601</v>
      </c>
      <c r="H75" s="9" t="s">
        <v>30</v>
      </c>
      <c r="I75" s="27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</row>
    <row r="76" spans="1:27">
      <c r="A76" s="27">
        <v>79</v>
      </c>
      <c r="B76" s="27">
        <v>17</v>
      </c>
      <c r="C76" s="29" t="s">
        <v>1500</v>
      </c>
      <c r="D76" s="27" t="s">
        <v>1286</v>
      </c>
      <c r="E76" s="27" t="s">
        <v>74</v>
      </c>
      <c r="F76" s="27" t="s">
        <v>1602</v>
      </c>
      <c r="G76" s="27" t="s">
        <v>1603</v>
      </c>
      <c r="H76" s="9" t="s">
        <v>30</v>
      </c>
      <c r="I76" s="27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</row>
    <row r="77" spans="1:27">
      <c r="A77" s="27">
        <v>80</v>
      </c>
      <c r="B77" s="27">
        <v>13</v>
      </c>
      <c r="C77" s="29" t="s">
        <v>1468</v>
      </c>
      <c r="D77" s="27" t="s">
        <v>1289</v>
      </c>
      <c r="E77" s="27" t="s">
        <v>27</v>
      </c>
      <c r="F77" s="27" t="s">
        <v>1604</v>
      </c>
      <c r="G77" s="27" t="s">
        <v>1605</v>
      </c>
      <c r="H77" s="9" t="s">
        <v>30</v>
      </c>
      <c r="I77" s="27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</row>
    <row r="78" spans="1:27">
      <c r="A78" s="27">
        <v>81</v>
      </c>
      <c r="B78" s="27">
        <v>9</v>
      </c>
      <c r="C78" s="29" t="s">
        <v>1502</v>
      </c>
      <c r="D78" s="27" t="s">
        <v>1606</v>
      </c>
      <c r="E78" s="27" t="s">
        <v>12</v>
      </c>
      <c r="F78" s="27" t="s">
        <v>1607</v>
      </c>
      <c r="G78" s="27" t="s">
        <v>1608</v>
      </c>
      <c r="H78" s="9" t="s">
        <v>87</v>
      </c>
      <c r="I78" s="27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</row>
    <row r="79" spans="1:27">
      <c r="A79" s="27">
        <v>82</v>
      </c>
      <c r="B79" s="27">
        <v>9</v>
      </c>
      <c r="C79" s="29" t="s">
        <v>1502</v>
      </c>
      <c r="D79" s="27" t="s">
        <v>1609</v>
      </c>
      <c r="E79" s="27" t="s">
        <v>451</v>
      </c>
      <c r="F79" s="27" t="s">
        <v>1610</v>
      </c>
      <c r="G79" s="27" t="s">
        <v>1611</v>
      </c>
      <c r="H79" s="9" t="s">
        <v>94</v>
      </c>
      <c r="I79" s="27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</row>
    <row r="80" spans="1:27">
      <c r="A80" s="27">
        <v>83</v>
      </c>
      <c r="B80" s="27">
        <v>8</v>
      </c>
      <c r="C80" s="29" t="s">
        <v>1494</v>
      </c>
      <c r="D80" s="27" t="s">
        <v>828</v>
      </c>
      <c r="E80" s="27" t="s">
        <v>12</v>
      </c>
      <c r="F80" s="27" t="s">
        <v>1612</v>
      </c>
      <c r="G80" s="27" t="s">
        <v>1613</v>
      </c>
      <c r="H80" s="9" t="s">
        <v>30</v>
      </c>
      <c r="I80" s="27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</row>
    <row r="81" spans="1:27">
      <c r="A81" s="27">
        <v>84</v>
      </c>
      <c r="B81" s="27">
        <v>3</v>
      </c>
      <c r="C81" s="29" t="s">
        <v>1457</v>
      </c>
      <c r="D81" s="27" t="s">
        <v>1290</v>
      </c>
      <c r="E81" s="27" t="s">
        <v>23</v>
      </c>
      <c r="F81" s="27" t="s">
        <v>1614</v>
      </c>
      <c r="G81" s="27" t="s">
        <v>1615</v>
      </c>
      <c r="H81" s="9" t="s">
        <v>48</v>
      </c>
      <c r="I81" s="27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</row>
    <row r="82" spans="1:27">
      <c r="A82" s="27">
        <v>85</v>
      </c>
      <c r="B82" s="27">
        <v>8</v>
      </c>
      <c r="C82" s="29" t="s">
        <v>1494</v>
      </c>
      <c r="D82" s="27" t="s">
        <v>1292</v>
      </c>
      <c r="E82" s="27" t="s">
        <v>105</v>
      </c>
      <c r="F82" s="27" t="s">
        <v>1616</v>
      </c>
      <c r="G82" s="27" t="s">
        <v>1617</v>
      </c>
      <c r="H82" s="9" t="s">
        <v>107</v>
      </c>
      <c r="I82" s="27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</row>
    <row r="83" spans="1:27">
      <c r="A83" s="27">
        <v>86</v>
      </c>
      <c r="B83" s="27">
        <v>11</v>
      </c>
      <c r="C83" s="29" t="s">
        <v>1450</v>
      </c>
      <c r="D83" s="27" t="s">
        <v>1618</v>
      </c>
      <c r="E83" s="27" t="s">
        <v>23</v>
      </c>
      <c r="F83" s="27" t="s">
        <v>1619</v>
      </c>
      <c r="G83" s="27" t="s">
        <v>1620</v>
      </c>
      <c r="H83" s="9" t="s">
        <v>94</v>
      </c>
      <c r="I83" s="27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</row>
    <row r="84" spans="1:27">
      <c r="A84" s="27">
        <v>87</v>
      </c>
      <c r="B84" s="27">
        <v>12</v>
      </c>
      <c r="C84" s="29" t="s">
        <v>1446</v>
      </c>
      <c r="D84" s="27" t="s">
        <v>1621</v>
      </c>
      <c r="E84" s="27" t="s">
        <v>23</v>
      </c>
      <c r="F84" s="27" t="s">
        <v>1622</v>
      </c>
      <c r="G84" s="27" t="s">
        <v>1623</v>
      </c>
      <c r="H84" s="9" t="s">
        <v>90</v>
      </c>
      <c r="I84" s="27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</row>
    <row r="85" spans="1:27">
      <c r="A85" s="27">
        <v>88</v>
      </c>
      <c r="B85" s="27">
        <v>13</v>
      </c>
      <c r="C85" s="29" t="s">
        <v>1468</v>
      </c>
      <c r="D85" s="27" t="s">
        <v>1624</v>
      </c>
      <c r="E85" s="27" t="s">
        <v>23</v>
      </c>
      <c r="F85" s="27" t="s">
        <v>1625</v>
      </c>
      <c r="G85" s="27" t="s">
        <v>1626</v>
      </c>
      <c r="H85" s="9" t="s">
        <v>48</v>
      </c>
      <c r="I85" s="27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</row>
    <row r="86" spans="1:27">
      <c r="A86" s="27">
        <v>89</v>
      </c>
      <c r="B86" s="27">
        <v>13</v>
      </c>
      <c r="C86" s="29" t="s">
        <v>1468</v>
      </c>
      <c r="D86" s="27" t="s">
        <v>127</v>
      </c>
      <c r="E86" s="27" t="s">
        <v>23</v>
      </c>
      <c r="F86" s="27" t="s">
        <v>128</v>
      </c>
      <c r="G86" s="27" t="s">
        <v>1627</v>
      </c>
      <c r="H86" s="9" t="s">
        <v>34</v>
      </c>
      <c r="I86" s="27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</row>
    <row r="87" spans="1:27">
      <c r="A87" s="27">
        <v>90</v>
      </c>
      <c r="B87" s="27">
        <v>5</v>
      </c>
      <c r="C87" s="29" t="s">
        <v>1487</v>
      </c>
      <c r="D87" s="27" t="s">
        <v>1628</v>
      </c>
      <c r="E87" s="27" t="s">
        <v>23</v>
      </c>
      <c r="F87" s="27" t="s">
        <v>142</v>
      </c>
      <c r="G87" s="27" t="s">
        <v>1629</v>
      </c>
      <c r="H87" s="9" t="s">
        <v>48</v>
      </c>
      <c r="I87" s="27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</row>
    <row r="88" spans="1:27">
      <c r="A88" s="27">
        <v>91</v>
      </c>
      <c r="B88" s="27">
        <v>6</v>
      </c>
      <c r="C88" s="29"/>
      <c r="D88" s="27" t="s">
        <v>1630</v>
      </c>
      <c r="E88" s="27" t="s">
        <v>23</v>
      </c>
      <c r="F88" s="27" t="s">
        <v>1631</v>
      </c>
      <c r="G88" s="27" t="s">
        <v>1632</v>
      </c>
      <c r="H88" s="9" t="s">
        <v>48</v>
      </c>
      <c r="I88" s="27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</row>
    <row r="89" spans="1:27">
      <c r="A89" s="27">
        <v>92</v>
      </c>
      <c r="B89" s="27">
        <v>14</v>
      </c>
      <c r="C89" s="29"/>
      <c r="D89" s="27" t="s">
        <v>1633</v>
      </c>
      <c r="E89" s="27" t="s">
        <v>23</v>
      </c>
      <c r="F89" s="27" t="s">
        <v>1634</v>
      </c>
      <c r="G89" s="27" t="s">
        <v>1635</v>
      </c>
      <c r="H89" s="9" t="s">
        <v>48</v>
      </c>
      <c r="I89" s="27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</row>
    <row r="90" spans="1:27">
      <c r="A90" s="27">
        <v>93</v>
      </c>
      <c r="B90" s="27">
        <v>1</v>
      </c>
      <c r="C90" s="29" t="s">
        <v>1453</v>
      </c>
      <c r="D90" s="27" t="s">
        <v>1636</v>
      </c>
      <c r="E90" s="27" t="s">
        <v>12</v>
      </c>
      <c r="F90" s="27" t="s">
        <v>1637</v>
      </c>
      <c r="G90" s="27" t="s">
        <v>1638</v>
      </c>
      <c r="H90" s="9" t="s">
        <v>87</v>
      </c>
      <c r="I90" s="27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</row>
    <row r="91" spans="1:27">
      <c r="A91" s="27">
        <v>94</v>
      </c>
      <c r="B91" s="27">
        <v>13</v>
      </c>
      <c r="C91" s="29" t="s">
        <v>1468</v>
      </c>
      <c r="D91" s="27" t="s">
        <v>1296</v>
      </c>
      <c r="E91" s="27" t="s">
        <v>23</v>
      </c>
      <c r="F91" s="27" t="s">
        <v>1639</v>
      </c>
      <c r="G91" s="27" t="s">
        <v>1640</v>
      </c>
      <c r="H91" s="9" t="s">
        <v>90</v>
      </c>
      <c r="I91" s="27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</row>
    <row r="92" spans="1:27">
      <c r="A92" s="27">
        <v>95</v>
      </c>
      <c r="B92" s="27">
        <v>12</v>
      </c>
      <c r="C92" s="29" t="s">
        <v>1446</v>
      </c>
      <c r="D92" s="27" t="s">
        <v>1297</v>
      </c>
      <c r="E92" s="27" t="s">
        <v>23</v>
      </c>
      <c r="F92" s="27" t="s">
        <v>1641</v>
      </c>
      <c r="G92" s="27" t="s">
        <v>1642</v>
      </c>
      <c r="H92" s="9" t="s">
        <v>34</v>
      </c>
      <c r="I92" s="27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</row>
    <row r="93" spans="1:27">
      <c r="A93" s="27">
        <v>96</v>
      </c>
      <c r="B93" s="27">
        <v>18</v>
      </c>
      <c r="C93" s="29" t="s">
        <v>1435</v>
      </c>
      <c r="D93" s="27" t="s">
        <v>1298</v>
      </c>
      <c r="E93" s="27" t="s">
        <v>12</v>
      </c>
      <c r="F93" s="27" t="s">
        <v>1643</v>
      </c>
      <c r="G93" s="27" t="s">
        <v>1644</v>
      </c>
      <c r="H93" s="9" t="s">
        <v>150</v>
      </c>
      <c r="I93" s="27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</row>
    <row r="94" spans="1:27">
      <c r="A94" s="27">
        <v>97</v>
      </c>
      <c r="B94" s="27">
        <v>16</v>
      </c>
      <c r="C94" s="29" t="s">
        <v>1459</v>
      </c>
      <c r="D94" s="27" t="s">
        <v>1299</v>
      </c>
      <c r="E94" s="27" t="s">
        <v>23</v>
      </c>
      <c r="F94" s="27" t="s">
        <v>1645</v>
      </c>
      <c r="G94" s="27" t="s">
        <v>1646</v>
      </c>
      <c r="H94" s="9" t="s">
        <v>203</v>
      </c>
      <c r="I94" s="27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</row>
    <row r="95" spans="1:27">
      <c r="A95" s="27">
        <v>98</v>
      </c>
      <c r="B95" s="27">
        <v>16</v>
      </c>
      <c r="C95" s="29" t="s">
        <v>1459</v>
      </c>
      <c r="D95" s="27" t="s">
        <v>1300</v>
      </c>
      <c r="E95" s="27" t="s">
        <v>23</v>
      </c>
      <c r="F95" s="27" t="s">
        <v>1647</v>
      </c>
      <c r="G95" s="27" t="s">
        <v>1648</v>
      </c>
      <c r="H95" s="9" t="s">
        <v>48</v>
      </c>
      <c r="I95" s="27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</row>
    <row r="96" spans="1:27">
      <c r="A96" s="27">
        <v>99</v>
      </c>
      <c r="B96" s="27">
        <v>1</v>
      </c>
      <c r="C96" s="29" t="s">
        <v>1453</v>
      </c>
      <c r="D96" s="27" t="s">
        <v>1301</v>
      </c>
      <c r="E96" s="27" t="s">
        <v>105</v>
      </c>
      <c r="F96" s="27" t="s">
        <v>1649</v>
      </c>
      <c r="G96" s="27" t="s">
        <v>1650</v>
      </c>
      <c r="H96" s="9" t="s">
        <v>107</v>
      </c>
      <c r="I96" s="27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</row>
    <row r="97" spans="1:27">
      <c r="A97" s="27">
        <v>100</v>
      </c>
      <c r="B97" s="27">
        <v>7</v>
      </c>
      <c r="C97" s="29" t="s">
        <v>1439</v>
      </c>
      <c r="D97" s="27" t="s">
        <v>1651</v>
      </c>
      <c r="E97" s="27" t="s">
        <v>23</v>
      </c>
      <c r="F97" s="27" t="s">
        <v>1652</v>
      </c>
      <c r="G97" s="27" t="s">
        <v>1653</v>
      </c>
      <c r="H97" s="9" t="s">
        <v>87</v>
      </c>
      <c r="I97" s="27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</row>
    <row r="98" spans="1:27">
      <c r="A98" s="27">
        <v>101</v>
      </c>
      <c r="B98" s="27">
        <v>15</v>
      </c>
      <c r="C98" s="29"/>
      <c r="D98" s="27" t="s">
        <v>1303</v>
      </c>
      <c r="E98" s="27" t="s">
        <v>54</v>
      </c>
      <c r="F98" s="27" t="s">
        <v>1654</v>
      </c>
      <c r="G98" s="27" t="s">
        <v>1655</v>
      </c>
      <c r="H98" s="9" t="s">
        <v>30</v>
      </c>
      <c r="I98" s="27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</row>
    <row r="99" spans="1:27">
      <c r="A99" s="27">
        <v>102</v>
      </c>
      <c r="B99" s="27">
        <v>5</v>
      </c>
      <c r="C99" s="29" t="s">
        <v>1487</v>
      </c>
      <c r="D99" s="27" t="s">
        <v>1656</v>
      </c>
      <c r="E99" s="27" t="s">
        <v>12</v>
      </c>
      <c r="F99" s="27" t="s">
        <v>1657</v>
      </c>
      <c r="G99" s="27" t="s">
        <v>1658</v>
      </c>
      <c r="H99" s="9" t="s">
        <v>87</v>
      </c>
      <c r="I99" s="27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</row>
    <row r="100" spans="1:27">
      <c r="A100" s="27">
        <v>103</v>
      </c>
      <c r="B100" s="27">
        <v>10</v>
      </c>
      <c r="C100" s="29" t="s">
        <v>1485</v>
      </c>
      <c r="D100" s="27" t="s">
        <v>1306</v>
      </c>
      <c r="E100" s="27" t="s">
        <v>12</v>
      </c>
      <c r="F100" s="27" t="s">
        <v>1659</v>
      </c>
      <c r="G100" s="27" t="s">
        <v>1660</v>
      </c>
      <c r="H100" s="9" t="s">
        <v>87</v>
      </c>
      <c r="I100" s="27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</row>
    <row r="101" spans="1:27">
      <c r="A101" s="27">
        <v>104</v>
      </c>
      <c r="B101" s="28">
        <v>2</v>
      </c>
      <c r="C101" s="29" t="s">
        <v>1511</v>
      </c>
      <c r="D101" s="28" t="s">
        <v>1661</v>
      </c>
      <c r="E101" s="27" t="s">
        <v>105</v>
      </c>
      <c r="F101" s="28" t="s">
        <v>1662</v>
      </c>
      <c r="G101" s="28" t="s">
        <v>1663</v>
      </c>
      <c r="H101" s="9" t="s">
        <v>107</v>
      </c>
      <c r="I101" s="27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</row>
    <row r="102" spans="1:27">
      <c r="A102" s="27">
        <v>105</v>
      </c>
      <c r="B102" s="28">
        <v>7</v>
      </c>
      <c r="C102" s="29" t="s">
        <v>1439</v>
      </c>
      <c r="D102" s="28" t="s">
        <v>1310</v>
      </c>
      <c r="E102" s="27" t="s">
        <v>819</v>
      </c>
      <c r="F102" s="28" t="s">
        <v>1664</v>
      </c>
      <c r="G102" s="28" t="s">
        <v>1665</v>
      </c>
      <c r="H102" s="9" t="s">
        <v>30</v>
      </c>
      <c r="I102" s="27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</row>
    <row r="103" spans="1:27">
      <c r="A103" s="27">
        <v>106</v>
      </c>
      <c r="B103" s="28">
        <v>8</v>
      </c>
      <c r="C103" s="29" t="s">
        <v>1494</v>
      </c>
      <c r="D103" s="28" t="s">
        <v>1666</v>
      </c>
      <c r="E103" s="27" t="s">
        <v>23</v>
      </c>
      <c r="F103" s="28" t="s">
        <v>1667</v>
      </c>
      <c r="G103" s="28" t="s">
        <v>1668</v>
      </c>
      <c r="H103" s="9" t="s">
        <v>48</v>
      </c>
      <c r="I103" s="27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</row>
    <row r="104" spans="1:27">
      <c r="A104" s="27">
        <v>107</v>
      </c>
      <c r="B104" s="28">
        <v>6</v>
      </c>
      <c r="C104" s="29" t="s">
        <v>1443</v>
      </c>
      <c r="D104" s="28" t="s">
        <v>1669</v>
      </c>
      <c r="E104" s="27" t="s">
        <v>23</v>
      </c>
      <c r="F104" s="28" t="s">
        <v>1670</v>
      </c>
      <c r="G104" s="28" t="s">
        <v>1671</v>
      </c>
      <c r="H104" s="9" t="s">
        <v>48</v>
      </c>
      <c r="I104" s="27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</row>
    <row r="105" spans="1:27">
      <c r="A105" s="27">
        <v>108</v>
      </c>
      <c r="B105" s="27">
        <v>11</v>
      </c>
      <c r="C105" s="29" t="s">
        <v>1450</v>
      </c>
      <c r="D105" s="31" t="s">
        <v>1311</v>
      </c>
      <c r="E105" s="27" t="s">
        <v>12</v>
      </c>
      <c r="F105" s="27" t="s">
        <v>1672</v>
      </c>
      <c r="G105" s="27" t="s">
        <v>1673</v>
      </c>
      <c r="H105" s="9" t="s">
        <v>94</v>
      </c>
      <c r="I105" s="27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</row>
    <row r="106" spans="1:27">
      <c r="A106" s="27">
        <v>109</v>
      </c>
      <c r="B106" s="27">
        <v>8</v>
      </c>
      <c r="C106" s="29" t="s">
        <v>1494</v>
      </c>
      <c r="D106" s="31" t="s">
        <v>1674</v>
      </c>
      <c r="E106" s="27" t="s">
        <v>12</v>
      </c>
      <c r="F106" s="27" t="s">
        <v>1675</v>
      </c>
      <c r="G106" s="27" t="s">
        <v>1676</v>
      </c>
      <c r="H106" s="30" t="s">
        <v>64</v>
      </c>
      <c r="I106" s="27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</row>
    <row r="107" spans="1:27">
      <c r="A107" s="27">
        <v>110</v>
      </c>
      <c r="B107" s="27">
        <v>18</v>
      </c>
      <c r="C107" s="29" t="s">
        <v>1435</v>
      </c>
      <c r="D107" s="31" t="s">
        <v>1677</v>
      </c>
      <c r="E107" s="27" t="s">
        <v>12</v>
      </c>
      <c r="F107" s="27" t="s">
        <v>1678</v>
      </c>
      <c r="G107" s="27" t="s">
        <v>1679</v>
      </c>
      <c r="H107" s="9" t="s">
        <v>87</v>
      </c>
      <c r="I107" s="27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</row>
    <row r="108" spans="1:27">
      <c r="A108" s="27">
        <v>111</v>
      </c>
      <c r="B108" s="27">
        <v>1</v>
      </c>
      <c r="C108" s="29" t="s">
        <v>1453</v>
      </c>
      <c r="D108" s="31" t="s">
        <v>1312</v>
      </c>
      <c r="E108" s="27" t="s">
        <v>12</v>
      </c>
      <c r="F108" s="27" t="s">
        <v>1680</v>
      </c>
      <c r="G108" s="27" t="s">
        <v>1681</v>
      </c>
      <c r="H108" s="9" t="s">
        <v>150</v>
      </c>
      <c r="I108" s="27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</row>
    <row r="109" spans="1:27">
      <c r="A109" s="27">
        <v>112</v>
      </c>
      <c r="B109" s="27">
        <v>18</v>
      </c>
      <c r="C109" s="29" t="s">
        <v>1435</v>
      </c>
      <c r="D109" s="31" t="s">
        <v>1682</v>
      </c>
      <c r="E109" s="27" t="s">
        <v>12</v>
      </c>
      <c r="F109" s="27" t="s">
        <v>1683</v>
      </c>
      <c r="G109" s="27" t="s">
        <v>1684</v>
      </c>
      <c r="H109" s="9" t="s">
        <v>87</v>
      </c>
      <c r="I109" s="27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</row>
    <row r="110" spans="1:27">
      <c r="A110" s="27">
        <v>113</v>
      </c>
      <c r="B110" s="27">
        <v>2</v>
      </c>
      <c r="C110" s="29" t="s">
        <v>1511</v>
      </c>
      <c r="D110" s="31" t="s">
        <v>1313</v>
      </c>
      <c r="E110" s="27" t="s">
        <v>105</v>
      </c>
      <c r="F110" s="27" t="s">
        <v>1685</v>
      </c>
      <c r="G110" s="27" t="s">
        <v>1686</v>
      </c>
      <c r="H110" s="9" t="s">
        <v>34</v>
      </c>
      <c r="I110" s="27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</row>
    <row r="111" spans="1:27">
      <c r="A111" s="27">
        <v>114</v>
      </c>
      <c r="B111" s="27">
        <v>2</v>
      </c>
      <c r="C111" s="29" t="s">
        <v>1511</v>
      </c>
      <c r="D111" s="31" t="s">
        <v>1314</v>
      </c>
      <c r="E111" s="27" t="s">
        <v>23</v>
      </c>
      <c r="F111" s="27" t="s">
        <v>1687</v>
      </c>
      <c r="G111" s="27" t="s">
        <v>1688</v>
      </c>
      <c r="H111" s="9" t="s">
        <v>87</v>
      </c>
      <c r="I111" s="27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</row>
    <row r="112" spans="1:27">
      <c r="A112" s="27">
        <v>115</v>
      </c>
      <c r="B112" s="27">
        <v>8</v>
      </c>
      <c r="C112" s="29" t="s">
        <v>1494</v>
      </c>
      <c r="D112" s="31" t="s">
        <v>1315</v>
      </c>
      <c r="E112" s="27" t="s">
        <v>23</v>
      </c>
      <c r="F112" s="27" t="s">
        <v>1689</v>
      </c>
      <c r="G112" s="27" t="s">
        <v>1690</v>
      </c>
      <c r="H112" s="9" t="s">
        <v>150</v>
      </c>
      <c r="I112" s="27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</row>
    <row r="113" spans="1:27">
      <c r="A113" s="27">
        <v>116</v>
      </c>
      <c r="B113" s="27">
        <v>17</v>
      </c>
      <c r="C113" s="29" t="s">
        <v>1500</v>
      </c>
      <c r="D113" s="31" t="s">
        <v>1317</v>
      </c>
      <c r="E113" s="27" t="s">
        <v>23</v>
      </c>
      <c r="F113" s="27" t="s">
        <v>1691</v>
      </c>
      <c r="G113" s="27" t="s">
        <v>1692</v>
      </c>
      <c r="H113" s="9" t="s">
        <v>60</v>
      </c>
      <c r="I113" s="27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</row>
    <row r="114" spans="1:27">
      <c r="A114" s="27">
        <v>117</v>
      </c>
      <c r="B114" s="27">
        <v>3</v>
      </c>
      <c r="C114" s="29" t="s">
        <v>1457</v>
      </c>
      <c r="D114" s="31" t="s">
        <v>843</v>
      </c>
      <c r="E114" s="27" t="s">
        <v>23</v>
      </c>
      <c r="F114" s="27" t="s">
        <v>844</v>
      </c>
      <c r="G114" s="27" t="s">
        <v>1693</v>
      </c>
      <c r="H114" s="9" t="s">
        <v>90</v>
      </c>
      <c r="I114" s="27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</row>
    <row r="115" spans="1:27">
      <c r="A115" s="27">
        <v>118</v>
      </c>
      <c r="B115" s="27">
        <v>13</v>
      </c>
      <c r="C115" s="29" t="s">
        <v>1468</v>
      </c>
      <c r="D115" s="31" t="s">
        <v>1694</v>
      </c>
      <c r="E115" s="27" t="s">
        <v>12</v>
      </c>
      <c r="F115" s="27" t="s">
        <v>1695</v>
      </c>
      <c r="G115" s="27" t="s">
        <v>1696</v>
      </c>
      <c r="H115" s="9" t="s">
        <v>87</v>
      </c>
      <c r="I115" s="27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</row>
    <row r="116" spans="1:27">
      <c r="A116" s="27">
        <v>119</v>
      </c>
      <c r="B116" s="27">
        <v>6</v>
      </c>
      <c r="C116" s="29" t="s">
        <v>1443</v>
      </c>
      <c r="D116" s="31" t="s">
        <v>1697</v>
      </c>
      <c r="E116" s="27" t="s">
        <v>12</v>
      </c>
      <c r="F116" s="27" t="s">
        <v>1698</v>
      </c>
      <c r="G116" s="27" t="s">
        <v>1699</v>
      </c>
      <c r="H116" s="9" t="s">
        <v>34</v>
      </c>
      <c r="I116" s="27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</row>
    <row r="117" spans="1:27">
      <c r="A117" s="27">
        <v>120</v>
      </c>
      <c r="B117" s="27">
        <v>13</v>
      </c>
      <c r="C117" s="29" t="s">
        <v>1468</v>
      </c>
      <c r="D117" s="31" t="s">
        <v>1318</v>
      </c>
      <c r="E117" s="27" t="s">
        <v>12</v>
      </c>
      <c r="F117" s="27" t="s">
        <v>1700</v>
      </c>
      <c r="G117" s="27" t="s">
        <v>1701</v>
      </c>
      <c r="H117" s="9" t="s">
        <v>15</v>
      </c>
      <c r="I117" s="27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</row>
    <row r="118" spans="1:27">
      <c r="A118" s="27">
        <v>121</v>
      </c>
      <c r="B118" s="27">
        <v>15</v>
      </c>
      <c r="C118" s="29" t="s">
        <v>1516</v>
      </c>
      <c r="D118" s="31" t="s">
        <v>1702</v>
      </c>
      <c r="E118" s="27" t="s">
        <v>12</v>
      </c>
      <c r="F118" s="27" t="s">
        <v>1703</v>
      </c>
      <c r="G118" s="27" t="s">
        <v>1704</v>
      </c>
      <c r="H118" s="9" t="s">
        <v>34</v>
      </c>
      <c r="I118" s="27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</row>
    <row r="119" spans="1:27">
      <c r="A119" s="27">
        <v>122</v>
      </c>
      <c r="B119" s="27">
        <v>6</v>
      </c>
      <c r="C119" s="29" t="s">
        <v>1443</v>
      </c>
      <c r="D119" s="31" t="s">
        <v>1319</v>
      </c>
      <c r="E119" s="27" t="s">
        <v>12</v>
      </c>
      <c r="F119" s="27" t="s">
        <v>1705</v>
      </c>
      <c r="G119" s="27" t="s">
        <v>1706</v>
      </c>
      <c r="H119" s="9" t="s">
        <v>87</v>
      </c>
      <c r="I119" s="27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</row>
    <row r="120" spans="1:27">
      <c r="A120" s="27">
        <v>123</v>
      </c>
      <c r="B120" s="27">
        <v>12</v>
      </c>
      <c r="C120" s="29" t="s">
        <v>1446</v>
      </c>
      <c r="D120" s="31" t="s">
        <v>1707</v>
      </c>
      <c r="E120" s="27" t="s">
        <v>23</v>
      </c>
      <c r="F120" s="27" t="s">
        <v>1708</v>
      </c>
      <c r="G120" s="27" t="s">
        <v>1709</v>
      </c>
      <c r="H120" s="9" t="s">
        <v>203</v>
      </c>
      <c r="I120" s="27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</row>
    <row r="121" spans="1:27">
      <c r="A121" s="27">
        <v>124</v>
      </c>
      <c r="B121" s="27">
        <v>5</v>
      </c>
      <c r="C121" s="29" t="s">
        <v>1487</v>
      </c>
      <c r="D121" s="31" t="s">
        <v>1710</v>
      </c>
      <c r="E121" s="27" t="s">
        <v>54</v>
      </c>
      <c r="F121" s="27" t="s">
        <v>1708</v>
      </c>
      <c r="G121" s="27" t="s">
        <v>1711</v>
      </c>
      <c r="H121" s="9" t="s">
        <v>30</v>
      </c>
      <c r="I121" s="27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</row>
    <row r="122" spans="1:27">
      <c r="A122" s="27">
        <v>125</v>
      </c>
      <c r="B122" s="27">
        <v>13</v>
      </c>
      <c r="C122" s="29" t="s">
        <v>1468</v>
      </c>
      <c r="D122" s="31" t="s">
        <v>1712</v>
      </c>
      <c r="E122" s="27" t="s">
        <v>23</v>
      </c>
      <c r="F122" s="27" t="s">
        <v>1713</v>
      </c>
      <c r="G122" s="27" t="s">
        <v>1714</v>
      </c>
      <c r="H122" s="9" t="s">
        <v>7</v>
      </c>
      <c r="I122" s="27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</row>
    <row r="123" spans="1:27">
      <c r="A123" s="27">
        <v>126</v>
      </c>
      <c r="B123" s="27">
        <v>2</v>
      </c>
      <c r="C123" s="29" t="s">
        <v>1715</v>
      </c>
      <c r="D123" s="31" t="s">
        <v>1322</v>
      </c>
      <c r="E123" s="27" t="s">
        <v>12</v>
      </c>
      <c r="F123" s="27" t="s">
        <v>1716</v>
      </c>
      <c r="G123" s="27" t="s">
        <v>1717</v>
      </c>
      <c r="H123" s="9" t="s">
        <v>87</v>
      </c>
      <c r="I123" s="27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</row>
    <row r="124" spans="1:27">
      <c r="A124" s="27">
        <v>127</v>
      </c>
      <c r="B124" s="27">
        <v>1</v>
      </c>
      <c r="C124" s="29" t="s">
        <v>1453</v>
      </c>
      <c r="D124" s="31" t="s">
        <v>1718</v>
      </c>
      <c r="E124" s="27" t="s">
        <v>23</v>
      </c>
      <c r="F124" s="27" t="s">
        <v>1719</v>
      </c>
      <c r="G124" s="27" t="s">
        <v>1720</v>
      </c>
      <c r="H124" s="9" t="s">
        <v>48</v>
      </c>
      <c r="I124" s="27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</row>
    <row r="125" spans="1:27">
      <c r="A125" s="27">
        <v>128</v>
      </c>
      <c r="B125" s="27">
        <v>15</v>
      </c>
      <c r="C125" s="29" t="s">
        <v>1516</v>
      </c>
      <c r="D125" s="31" t="s">
        <v>1721</v>
      </c>
      <c r="E125" s="27" t="s">
        <v>23</v>
      </c>
      <c r="F125" s="27" t="s">
        <v>1722</v>
      </c>
      <c r="G125" s="27" t="s">
        <v>1723</v>
      </c>
      <c r="H125" s="9" t="s">
        <v>48</v>
      </c>
      <c r="I125" s="27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</row>
    <row r="126" spans="1:27">
      <c r="A126" s="27">
        <v>129</v>
      </c>
      <c r="B126" s="27">
        <v>10</v>
      </c>
      <c r="C126" s="29" t="s">
        <v>1485</v>
      </c>
      <c r="D126" s="31" t="s">
        <v>1323</v>
      </c>
      <c r="E126" s="27" t="s">
        <v>12</v>
      </c>
      <c r="F126" s="27" t="s">
        <v>1724</v>
      </c>
      <c r="G126" s="27" t="s">
        <v>1725</v>
      </c>
      <c r="H126" s="9" t="s">
        <v>150</v>
      </c>
      <c r="I126" s="27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</row>
    <row r="127" spans="1:27">
      <c r="A127" s="27">
        <v>130</v>
      </c>
      <c r="B127" s="27">
        <v>6</v>
      </c>
      <c r="C127" s="29" t="s">
        <v>1443</v>
      </c>
      <c r="D127" s="31" t="s">
        <v>1726</v>
      </c>
      <c r="E127" s="27" t="s">
        <v>12</v>
      </c>
      <c r="F127" s="27" t="s">
        <v>1727</v>
      </c>
      <c r="G127" s="27" t="s">
        <v>1728</v>
      </c>
      <c r="H127" s="9" t="s">
        <v>87</v>
      </c>
      <c r="I127" s="27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</row>
    <row r="128" spans="1:27">
      <c r="A128" s="27">
        <v>131</v>
      </c>
      <c r="B128" s="27">
        <v>4</v>
      </c>
      <c r="C128" s="29" t="s">
        <v>1495</v>
      </c>
      <c r="D128" s="31" t="s">
        <v>1729</v>
      </c>
      <c r="E128" s="27" t="s">
        <v>105</v>
      </c>
      <c r="F128" s="27" t="s">
        <v>1730</v>
      </c>
      <c r="G128" s="27" t="s">
        <v>1731</v>
      </c>
      <c r="H128" s="9" t="s">
        <v>107</v>
      </c>
      <c r="I128" s="27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</row>
    <row r="129" spans="1:27">
      <c r="A129" s="27">
        <v>132</v>
      </c>
      <c r="B129" s="27">
        <v>13</v>
      </c>
      <c r="C129" s="29" t="s">
        <v>1468</v>
      </c>
      <c r="D129" s="31" t="s">
        <v>1327</v>
      </c>
      <c r="E129" s="27" t="s">
        <v>12</v>
      </c>
      <c r="F129" s="27" t="s">
        <v>1732</v>
      </c>
      <c r="G129" s="27" t="s">
        <v>1733</v>
      </c>
      <c r="H129" s="30" t="s">
        <v>64</v>
      </c>
      <c r="I129" s="27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</row>
    <row r="130" spans="1:27">
      <c r="A130" s="27">
        <v>133</v>
      </c>
      <c r="B130" s="27">
        <v>8</v>
      </c>
      <c r="C130" s="29" t="s">
        <v>1494</v>
      </c>
      <c r="D130" s="31" t="s">
        <v>1734</v>
      </c>
      <c r="E130" s="27" t="s">
        <v>451</v>
      </c>
      <c r="F130" s="27" t="s">
        <v>1735</v>
      </c>
      <c r="G130" s="27" t="s">
        <v>1736</v>
      </c>
      <c r="H130" s="30" t="s">
        <v>64</v>
      </c>
      <c r="I130" s="27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</row>
    <row r="131" spans="1:27">
      <c r="A131" s="27">
        <v>134</v>
      </c>
      <c r="B131" s="27">
        <v>5</v>
      </c>
      <c r="C131" s="29" t="s">
        <v>1487</v>
      </c>
      <c r="D131" s="31" t="s">
        <v>1737</v>
      </c>
      <c r="E131" s="27"/>
      <c r="F131" s="27" t="s">
        <v>1738</v>
      </c>
      <c r="G131" s="27" t="s">
        <v>1739</v>
      </c>
      <c r="H131" s="30" t="s">
        <v>15</v>
      </c>
      <c r="I131" s="27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</row>
    <row r="132" spans="1:27">
      <c r="A132" s="27">
        <v>135</v>
      </c>
      <c r="B132" s="27">
        <v>5</v>
      </c>
      <c r="C132" s="29" t="s">
        <v>1487</v>
      </c>
      <c r="D132" s="31" t="s">
        <v>1740</v>
      </c>
      <c r="E132" s="27" t="s">
        <v>12</v>
      </c>
      <c r="F132" s="27" t="s">
        <v>1741</v>
      </c>
      <c r="G132" s="27" t="s">
        <v>1223</v>
      </c>
      <c r="H132" s="9" t="s">
        <v>87</v>
      </c>
      <c r="I132" s="27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</row>
    <row r="133" spans="1:27">
      <c r="A133" s="27">
        <v>136</v>
      </c>
      <c r="B133" s="27">
        <v>18</v>
      </c>
      <c r="C133" s="29" t="s">
        <v>1435</v>
      </c>
      <c r="D133" s="31" t="s">
        <v>1332</v>
      </c>
      <c r="E133" s="27" t="s">
        <v>74</v>
      </c>
      <c r="F133" s="27" t="s">
        <v>1742</v>
      </c>
      <c r="G133" s="27" t="s">
        <v>1743</v>
      </c>
      <c r="H133" s="9" t="s">
        <v>30</v>
      </c>
      <c r="I133" s="27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</row>
    <row r="134" spans="1:27">
      <c r="A134" s="27">
        <v>137</v>
      </c>
      <c r="B134" s="27">
        <v>12</v>
      </c>
      <c r="C134" s="29" t="s">
        <v>1446</v>
      </c>
      <c r="D134" s="31" t="s">
        <v>1333</v>
      </c>
      <c r="E134" s="27" t="s">
        <v>23</v>
      </c>
      <c r="F134" s="27" t="s">
        <v>1744</v>
      </c>
      <c r="G134" s="27" t="s">
        <v>1745</v>
      </c>
      <c r="H134" s="9" t="s">
        <v>48</v>
      </c>
      <c r="I134" s="27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</row>
    <row r="135" spans="1:27">
      <c r="A135" s="27">
        <v>138</v>
      </c>
      <c r="B135" s="27">
        <v>18</v>
      </c>
      <c r="C135" s="29" t="s">
        <v>1435</v>
      </c>
      <c r="D135" s="31" t="s">
        <v>1334</v>
      </c>
      <c r="E135" s="27" t="s">
        <v>74</v>
      </c>
      <c r="F135" s="27" t="s">
        <v>1746</v>
      </c>
      <c r="G135" s="27" t="s">
        <v>1743</v>
      </c>
      <c r="H135" s="9" t="s">
        <v>30</v>
      </c>
      <c r="I135" s="27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</row>
    <row r="136" spans="1:27">
      <c r="A136" s="27">
        <v>139</v>
      </c>
      <c r="B136" s="27">
        <v>6</v>
      </c>
      <c r="C136" s="29" t="s">
        <v>1443</v>
      </c>
      <c r="D136" s="31" t="s">
        <v>1747</v>
      </c>
      <c r="E136" s="27" t="s">
        <v>23</v>
      </c>
      <c r="F136" s="27" t="s">
        <v>1748</v>
      </c>
      <c r="G136" s="27" t="s">
        <v>1749</v>
      </c>
      <c r="H136" s="9" t="s">
        <v>94</v>
      </c>
      <c r="I136" s="27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</row>
    <row r="137" spans="1:27">
      <c r="A137" s="27">
        <v>140</v>
      </c>
      <c r="B137" s="27">
        <v>15</v>
      </c>
      <c r="C137" s="29" t="s">
        <v>1516</v>
      </c>
      <c r="D137" s="31" t="s">
        <v>1750</v>
      </c>
      <c r="E137" s="27" t="s">
        <v>1751</v>
      </c>
      <c r="F137" s="27" t="s">
        <v>1752</v>
      </c>
      <c r="G137" s="27" t="s">
        <v>1753</v>
      </c>
      <c r="H137" s="9" t="s">
        <v>30</v>
      </c>
      <c r="I137" s="27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</row>
    <row r="138" spans="1:27">
      <c r="A138" s="27">
        <v>141</v>
      </c>
      <c r="B138" s="27">
        <v>7</v>
      </c>
      <c r="C138" s="29" t="s">
        <v>1439</v>
      </c>
      <c r="D138" s="31" t="s">
        <v>861</v>
      </c>
      <c r="E138" s="27" t="s">
        <v>74</v>
      </c>
      <c r="F138" s="27" t="s">
        <v>862</v>
      </c>
      <c r="G138" s="27" t="s">
        <v>1754</v>
      </c>
      <c r="H138" s="9" t="s">
        <v>30</v>
      </c>
      <c r="I138" s="27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</row>
    <row r="139" spans="1:27">
      <c r="A139" s="27">
        <v>142</v>
      </c>
      <c r="B139" s="27">
        <v>12</v>
      </c>
      <c r="C139" s="29" t="s">
        <v>1446</v>
      </c>
      <c r="D139" s="31" t="s">
        <v>1755</v>
      </c>
      <c r="E139" s="27" t="s">
        <v>23</v>
      </c>
      <c r="F139" s="27" t="s">
        <v>1756</v>
      </c>
      <c r="G139" s="27" t="s">
        <v>1757</v>
      </c>
      <c r="H139" s="9" t="s">
        <v>115</v>
      </c>
      <c r="I139" s="27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</row>
    <row r="140" spans="1:27">
      <c r="A140" s="27">
        <v>143</v>
      </c>
      <c r="B140" s="27">
        <v>7</v>
      </c>
      <c r="C140" s="29" t="s">
        <v>1439</v>
      </c>
      <c r="D140" s="31" t="s">
        <v>1335</v>
      </c>
      <c r="E140" s="27" t="s">
        <v>54</v>
      </c>
      <c r="F140" s="27" t="s">
        <v>1758</v>
      </c>
      <c r="G140" s="27" t="s">
        <v>1759</v>
      </c>
      <c r="H140" s="9" t="s">
        <v>30</v>
      </c>
      <c r="I140" s="27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</row>
    <row r="141" spans="1:27">
      <c r="A141" s="27">
        <v>144</v>
      </c>
      <c r="B141" s="27">
        <v>12</v>
      </c>
      <c r="C141" s="29" t="s">
        <v>1446</v>
      </c>
      <c r="D141" s="31" t="s">
        <v>1338</v>
      </c>
      <c r="E141" s="27" t="s">
        <v>23</v>
      </c>
      <c r="F141" s="27" t="s">
        <v>1760</v>
      </c>
      <c r="G141" s="27" t="s">
        <v>1761</v>
      </c>
      <c r="H141" s="9" t="s">
        <v>90</v>
      </c>
      <c r="I141" s="27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</row>
    <row r="142" spans="1:27">
      <c r="A142" s="27">
        <v>145</v>
      </c>
      <c r="B142" s="27">
        <v>14</v>
      </c>
      <c r="C142" s="29" t="s">
        <v>1455</v>
      </c>
      <c r="D142" s="31" t="s">
        <v>1340</v>
      </c>
      <c r="E142" s="27" t="s">
        <v>23</v>
      </c>
      <c r="F142" s="27" t="s">
        <v>1762</v>
      </c>
      <c r="G142" s="27" t="s">
        <v>1763</v>
      </c>
      <c r="H142" s="9" t="s">
        <v>48</v>
      </c>
      <c r="I142" s="27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</row>
    <row r="143" spans="1:27">
      <c r="A143" s="27">
        <v>146</v>
      </c>
      <c r="B143" s="27">
        <v>12</v>
      </c>
      <c r="C143" s="29" t="s">
        <v>1446</v>
      </c>
      <c r="D143" s="31" t="s">
        <v>1764</v>
      </c>
      <c r="E143" s="27" t="s">
        <v>12</v>
      </c>
      <c r="F143" s="27" t="s">
        <v>1765</v>
      </c>
      <c r="G143" s="27" t="s">
        <v>1766</v>
      </c>
      <c r="H143" s="9" t="s">
        <v>203</v>
      </c>
      <c r="I143" s="27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</row>
    <row r="144" spans="1:27">
      <c r="A144" s="27">
        <v>147</v>
      </c>
      <c r="B144" s="27">
        <v>3</v>
      </c>
      <c r="C144" s="29" t="s">
        <v>1457</v>
      </c>
      <c r="D144" s="31" t="s">
        <v>1767</v>
      </c>
      <c r="E144" s="27" t="s">
        <v>894</v>
      </c>
      <c r="F144" s="27" t="s">
        <v>1768</v>
      </c>
      <c r="G144" s="27" t="s">
        <v>1769</v>
      </c>
      <c r="H144" s="9" t="s">
        <v>87</v>
      </c>
      <c r="I144" s="27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</row>
    <row r="145" spans="1:27">
      <c r="A145" s="27">
        <v>148</v>
      </c>
      <c r="B145" s="27">
        <v>17</v>
      </c>
      <c r="C145" s="29" t="s">
        <v>1500</v>
      </c>
      <c r="D145" s="31" t="s">
        <v>1343</v>
      </c>
      <c r="E145" s="27" t="s">
        <v>12</v>
      </c>
      <c r="F145" s="27" t="s">
        <v>1770</v>
      </c>
      <c r="G145" s="27" t="s">
        <v>1771</v>
      </c>
      <c r="H145" s="9" t="s">
        <v>48</v>
      </c>
      <c r="I145" s="27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</row>
    <row r="146" spans="1:27">
      <c r="A146" s="27">
        <v>149</v>
      </c>
      <c r="B146" s="27">
        <v>15</v>
      </c>
      <c r="C146" s="29" t="s">
        <v>1516</v>
      </c>
      <c r="D146" s="31" t="s">
        <v>1772</v>
      </c>
      <c r="E146" s="27" t="s">
        <v>451</v>
      </c>
      <c r="F146" s="27" t="s">
        <v>1773</v>
      </c>
      <c r="G146" s="27" t="s">
        <v>1774</v>
      </c>
      <c r="H146" s="9" t="s">
        <v>15</v>
      </c>
      <c r="I146" s="27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</row>
    <row r="147" spans="1:27">
      <c r="A147" s="27">
        <v>150</v>
      </c>
      <c r="B147" s="27">
        <v>8</v>
      </c>
      <c r="C147" s="29" t="s">
        <v>1494</v>
      </c>
      <c r="D147" s="31" t="s">
        <v>1344</v>
      </c>
      <c r="E147" s="27" t="s">
        <v>12</v>
      </c>
      <c r="F147" s="27" t="s">
        <v>1775</v>
      </c>
      <c r="G147" s="27" t="s">
        <v>1776</v>
      </c>
      <c r="H147" s="9" t="s">
        <v>34</v>
      </c>
      <c r="I147" s="27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</row>
    <row r="148" spans="1:27">
      <c r="A148" s="27">
        <v>151</v>
      </c>
      <c r="B148" s="27">
        <v>16</v>
      </c>
      <c r="C148" s="29" t="s">
        <v>1777</v>
      </c>
      <c r="D148" s="31" t="s">
        <v>1778</v>
      </c>
      <c r="E148" s="27" t="s">
        <v>804</v>
      </c>
      <c r="F148" s="27" t="s">
        <v>1779</v>
      </c>
      <c r="G148" s="27" t="s">
        <v>1780</v>
      </c>
      <c r="H148" s="9" t="s">
        <v>30</v>
      </c>
      <c r="I148" s="27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</row>
    <row r="149" spans="1:27">
      <c r="A149" s="27">
        <v>152</v>
      </c>
      <c r="B149" s="27">
        <v>12</v>
      </c>
      <c r="C149" s="29" t="s">
        <v>1446</v>
      </c>
      <c r="D149" s="31" t="s">
        <v>1781</v>
      </c>
      <c r="E149" s="27" t="s">
        <v>12</v>
      </c>
      <c r="F149" s="27" t="s">
        <v>1782</v>
      </c>
      <c r="G149" s="27" t="s">
        <v>1783</v>
      </c>
      <c r="H149" s="9" t="s">
        <v>34</v>
      </c>
      <c r="I149" s="27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</row>
    <row r="150" spans="1:27">
      <c r="A150" s="27">
        <v>153</v>
      </c>
      <c r="B150" s="27">
        <v>16</v>
      </c>
      <c r="C150" s="29" t="s">
        <v>1777</v>
      </c>
      <c r="D150" s="31" t="s">
        <v>1784</v>
      </c>
      <c r="E150" s="27" t="s">
        <v>23</v>
      </c>
      <c r="F150" s="27" t="s">
        <v>1785</v>
      </c>
      <c r="G150" s="27" t="s">
        <v>1786</v>
      </c>
      <c r="H150" s="9" t="s">
        <v>48</v>
      </c>
      <c r="I150" s="27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</row>
    <row r="151" spans="1:27">
      <c r="A151" s="27">
        <v>154</v>
      </c>
      <c r="B151" s="27">
        <v>17</v>
      </c>
      <c r="C151" s="29" t="s">
        <v>1500</v>
      </c>
      <c r="D151" s="31" t="s">
        <v>1787</v>
      </c>
      <c r="E151" s="27" t="s">
        <v>23</v>
      </c>
      <c r="F151" s="27" t="s">
        <v>1788</v>
      </c>
      <c r="G151" s="27" t="s">
        <v>1789</v>
      </c>
      <c r="H151" s="9" t="s">
        <v>90</v>
      </c>
      <c r="I151" s="27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</row>
    <row r="152" spans="1:27">
      <c r="A152" s="27">
        <v>155</v>
      </c>
      <c r="B152" s="27">
        <v>18</v>
      </c>
      <c r="C152" s="29" t="s">
        <v>1435</v>
      </c>
      <c r="D152" s="31" t="s">
        <v>1790</v>
      </c>
      <c r="E152" s="27" t="s">
        <v>12</v>
      </c>
      <c r="F152" s="27" t="s">
        <v>1791</v>
      </c>
      <c r="G152" s="27" t="s">
        <v>1792</v>
      </c>
      <c r="H152" s="9" t="s">
        <v>87</v>
      </c>
      <c r="I152" s="27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</row>
    <row r="153" spans="1:27">
      <c r="A153" s="27">
        <v>156</v>
      </c>
      <c r="B153" s="27">
        <v>18</v>
      </c>
      <c r="C153" s="29" t="s">
        <v>1435</v>
      </c>
      <c r="D153" s="31" t="s">
        <v>872</v>
      </c>
      <c r="E153" s="27" t="s">
        <v>23</v>
      </c>
      <c r="F153" s="27" t="s">
        <v>873</v>
      </c>
      <c r="G153" s="27" t="s">
        <v>1793</v>
      </c>
      <c r="H153" s="9" t="s">
        <v>34</v>
      </c>
      <c r="I153" s="27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</row>
    <row r="154" spans="1:27">
      <c r="A154" s="27">
        <v>157</v>
      </c>
      <c r="B154" s="27">
        <v>5</v>
      </c>
      <c r="C154" s="27" t="s">
        <v>1487</v>
      </c>
      <c r="D154" s="31" t="s">
        <v>1794</v>
      </c>
      <c r="E154" s="27"/>
      <c r="F154" s="27" t="s">
        <v>1795</v>
      </c>
      <c r="G154" s="27" t="s">
        <v>1796</v>
      </c>
      <c r="H154" s="9" t="s">
        <v>15</v>
      </c>
      <c r="I154" s="27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</row>
    <row r="155" spans="1:27">
      <c r="A155" s="27">
        <v>158</v>
      </c>
      <c r="B155" s="27">
        <v>4</v>
      </c>
      <c r="C155" s="27" t="s">
        <v>1495</v>
      </c>
      <c r="D155" s="31" t="s">
        <v>1347</v>
      </c>
      <c r="E155" s="27" t="s">
        <v>23</v>
      </c>
      <c r="F155" s="27" t="s">
        <v>1797</v>
      </c>
      <c r="G155" s="27" t="s">
        <v>1798</v>
      </c>
      <c r="H155" s="9" t="s">
        <v>203</v>
      </c>
      <c r="I155" s="27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</row>
    <row r="156" spans="1:27">
      <c r="A156" s="27">
        <v>159</v>
      </c>
      <c r="B156" s="27">
        <v>17</v>
      </c>
      <c r="C156" s="27" t="s">
        <v>1500</v>
      </c>
      <c r="D156" s="31" t="s">
        <v>1799</v>
      </c>
      <c r="E156" s="27" t="s">
        <v>12</v>
      </c>
      <c r="F156" s="27" t="s">
        <v>1800</v>
      </c>
      <c r="G156" s="27" t="s">
        <v>1801</v>
      </c>
      <c r="H156" s="9" t="s">
        <v>15</v>
      </c>
      <c r="I156" s="27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</row>
    <row r="157" spans="1:27">
      <c r="A157" s="27">
        <v>160</v>
      </c>
      <c r="B157" s="27">
        <v>9</v>
      </c>
      <c r="C157" s="27" t="s">
        <v>1802</v>
      </c>
      <c r="D157" s="31" t="s">
        <v>1350</v>
      </c>
      <c r="E157" s="27" t="s">
        <v>19</v>
      </c>
      <c r="F157" s="27" t="s">
        <v>1803</v>
      </c>
      <c r="G157" s="27" t="s">
        <v>1804</v>
      </c>
      <c r="H157" s="9" t="s">
        <v>107</v>
      </c>
      <c r="I157" s="27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</row>
    <row r="158" spans="1:27">
      <c r="A158" s="27">
        <v>161</v>
      </c>
      <c r="B158" s="27">
        <v>2</v>
      </c>
      <c r="C158" s="27" t="s">
        <v>1511</v>
      </c>
      <c r="D158" s="31" t="s">
        <v>1351</v>
      </c>
      <c r="E158" s="27" t="s">
        <v>105</v>
      </c>
      <c r="F158" s="27" t="s">
        <v>1805</v>
      </c>
      <c r="G158" s="27" t="s">
        <v>1806</v>
      </c>
      <c r="H158" s="9" t="s">
        <v>107</v>
      </c>
      <c r="I158" s="27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</row>
    <row r="159" spans="1:27">
      <c r="A159" s="27">
        <v>162</v>
      </c>
      <c r="B159" s="27" t="s">
        <v>1807</v>
      </c>
      <c r="C159" s="27" t="s">
        <v>1808</v>
      </c>
      <c r="D159" s="31" t="s">
        <v>881</v>
      </c>
      <c r="E159" s="27" t="s">
        <v>666</v>
      </c>
      <c r="F159" s="27" t="s">
        <v>882</v>
      </c>
      <c r="G159" s="27" t="s">
        <v>1809</v>
      </c>
      <c r="H159" s="9" t="s">
        <v>30</v>
      </c>
      <c r="I159" s="27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</row>
    <row r="160" spans="1:27">
      <c r="A160" s="27">
        <v>163</v>
      </c>
      <c r="B160" s="27">
        <v>1</v>
      </c>
      <c r="C160" s="27" t="s">
        <v>1453</v>
      </c>
      <c r="D160" s="31" t="s">
        <v>1810</v>
      </c>
      <c r="E160" s="27" t="s">
        <v>23</v>
      </c>
      <c r="F160" s="27" t="s">
        <v>1811</v>
      </c>
      <c r="G160" s="27" t="s">
        <v>1812</v>
      </c>
      <c r="H160" s="9" t="s">
        <v>48</v>
      </c>
      <c r="I160" s="27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</row>
    <row r="161" spans="1:27">
      <c r="A161" s="27">
        <v>164</v>
      </c>
      <c r="B161" s="27">
        <v>7</v>
      </c>
      <c r="C161" s="27" t="s">
        <v>1439</v>
      </c>
      <c r="D161" s="31" t="s">
        <v>1352</v>
      </c>
      <c r="E161" s="27" t="s">
        <v>105</v>
      </c>
      <c r="F161" s="27" t="s">
        <v>1813</v>
      </c>
      <c r="G161" s="27" t="s">
        <v>1814</v>
      </c>
      <c r="H161" s="9" t="s">
        <v>107</v>
      </c>
      <c r="I161" s="27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</row>
    <row r="162" spans="1:27">
      <c r="A162" s="27">
        <v>165</v>
      </c>
      <c r="B162" s="27">
        <v>15</v>
      </c>
      <c r="C162" s="27" t="s">
        <v>1516</v>
      </c>
      <c r="D162" s="31" t="s">
        <v>1353</v>
      </c>
      <c r="E162" s="27" t="s">
        <v>23</v>
      </c>
      <c r="F162" s="27" t="s">
        <v>230</v>
      </c>
      <c r="G162" s="27" t="s">
        <v>1815</v>
      </c>
      <c r="H162" s="9" t="s">
        <v>90</v>
      </c>
      <c r="I162" s="27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</row>
    <row r="163" spans="1:27">
      <c r="A163" s="27">
        <v>166</v>
      </c>
      <c r="B163" s="27">
        <v>10</v>
      </c>
      <c r="C163" s="27" t="s">
        <v>1485</v>
      </c>
      <c r="D163" s="31" t="s">
        <v>1354</v>
      </c>
      <c r="E163" s="27" t="s">
        <v>23</v>
      </c>
      <c r="F163" s="27" t="s">
        <v>1816</v>
      </c>
      <c r="G163" s="27" t="s">
        <v>1817</v>
      </c>
      <c r="H163" s="9" t="s">
        <v>48</v>
      </c>
      <c r="I163" s="27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</row>
    <row r="164" spans="1:27">
      <c r="A164" s="27">
        <v>167</v>
      </c>
      <c r="B164" s="27">
        <v>6</v>
      </c>
      <c r="C164" s="27" t="s">
        <v>1443</v>
      </c>
      <c r="D164" s="31" t="s">
        <v>1818</v>
      </c>
      <c r="E164" s="27" t="s">
        <v>23</v>
      </c>
      <c r="F164" s="27" t="s">
        <v>1819</v>
      </c>
      <c r="G164" s="27" t="s">
        <v>1820</v>
      </c>
      <c r="H164" s="9" t="s">
        <v>48</v>
      </c>
      <c r="I164" s="27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</row>
    <row r="165" spans="1:27">
      <c r="A165" s="27">
        <v>168</v>
      </c>
      <c r="B165" s="27">
        <v>6</v>
      </c>
      <c r="C165" s="27" t="s">
        <v>1443</v>
      </c>
      <c r="D165" s="31" t="s">
        <v>1355</v>
      </c>
      <c r="E165" s="27" t="s">
        <v>23</v>
      </c>
      <c r="F165" s="27" t="s">
        <v>1821</v>
      </c>
      <c r="G165" s="27" t="s">
        <v>1822</v>
      </c>
      <c r="H165" s="9" t="s">
        <v>60</v>
      </c>
      <c r="I165" s="27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</row>
    <row r="166" spans="1:27">
      <c r="A166" s="27">
        <v>169</v>
      </c>
      <c r="B166" s="27">
        <v>10</v>
      </c>
      <c r="C166" s="27" t="s">
        <v>1485</v>
      </c>
      <c r="D166" s="31" t="s">
        <v>1823</v>
      </c>
      <c r="E166" s="27" t="s">
        <v>23</v>
      </c>
      <c r="F166" s="27" t="s">
        <v>1824</v>
      </c>
      <c r="G166" s="27" t="s">
        <v>1825</v>
      </c>
      <c r="H166" s="9" t="s">
        <v>34</v>
      </c>
      <c r="I166" s="27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</row>
    <row r="167" spans="1:27">
      <c r="A167" s="27">
        <v>170</v>
      </c>
      <c r="B167" s="27">
        <v>11</v>
      </c>
      <c r="C167" s="27" t="s">
        <v>1450</v>
      </c>
      <c r="D167" s="31" t="s">
        <v>1826</v>
      </c>
      <c r="E167" s="27" t="s">
        <v>23</v>
      </c>
      <c r="F167" s="27" t="s">
        <v>1827</v>
      </c>
      <c r="G167" s="27" t="s">
        <v>1828</v>
      </c>
      <c r="H167" s="9" t="s">
        <v>48</v>
      </c>
      <c r="I167" s="27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</row>
    <row r="168" spans="1:27">
      <c r="A168" s="27">
        <v>171</v>
      </c>
      <c r="B168" s="27">
        <v>1</v>
      </c>
      <c r="C168" s="27" t="s">
        <v>1453</v>
      </c>
      <c r="D168" s="31" t="s">
        <v>1356</v>
      </c>
      <c r="E168" s="27" t="s">
        <v>23</v>
      </c>
      <c r="F168" s="27" t="s">
        <v>1829</v>
      </c>
      <c r="G168" s="27" t="s">
        <v>1830</v>
      </c>
      <c r="H168" s="9" t="s">
        <v>48</v>
      </c>
      <c r="I168" s="27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</row>
    <row r="169" spans="1:27">
      <c r="A169" s="27">
        <v>172</v>
      </c>
      <c r="B169" s="27">
        <v>3</v>
      </c>
      <c r="C169" s="27" t="s">
        <v>1457</v>
      </c>
      <c r="D169" s="31" t="s">
        <v>1357</v>
      </c>
      <c r="E169" s="27" t="s">
        <v>23</v>
      </c>
      <c r="F169" s="27" t="s">
        <v>1831</v>
      </c>
      <c r="G169" s="27" t="s">
        <v>1832</v>
      </c>
      <c r="H169" s="9" t="s">
        <v>48</v>
      </c>
      <c r="I169" s="27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</row>
    <row r="170" spans="1:27">
      <c r="A170" s="27">
        <v>173</v>
      </c>
      <c r="B170" s="27">
        <v>13</v>
      </c>
      <c r="C170" s="27" t="s">
        <v>1468</v>
      </c>
      <c r="D170" s="31" t="s">
        <v>1358</v>
      </c>
      <c r="E170" s="27" t="s">
        <v>23</v>
      </c>
      <c r="F170" s="27" t="s">
        <v>1833</v>
      </c>
      <c r="G170" s="27" t="s">
        <v>1834</v>
      </c>
      <c r="H170" s="9" t="s">
        <v>7</v>
      </c>
      <c r="I170" s="27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</row>
    <row r="171" spans="1:27">
      <c r="A171" s="27">
        <v>174</v>
      </c>
      <c r="B171" s="27">
        <v>4</v>
      </c>
      <c r="C171" s="27" t="s">
        <v>1495</v>
      </c>
      <c r="D171" s="31" t="s">
        <v>1360</v>
      </c>
      <c r="E171" s="27" t="s">
        <v>12</v>
      </c>
      <c r="F171" s="27" t="s">
        <v>1835</v>
      </c>
      <c r="G171" s="27" t="s">
        <v>1836</v>
      </c>
      <c r="H171" s="9" t="s">
        <v>87</v>
      </c>
      <c r="I171" s="27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</row>
    <row r="172" spans="1:27">
      <c r="A172" s="27">
        <v>175</v>
      </c>
      <c r="B172" s="27">
        <v>3</v>
      </c>
      <c r="C172" s="27" t="s">
        <v>1457</v>
      </c>
      <c r="D172" s="31" t="s">
        <v>208</v>
      </c>
      <c r="E172" s="27" t="s">
        <v>12</v>
      </c>
      <c r="F172" s="27" t="s">
        <v>1837</v>
      </c>
      <c r="G172" s="27" t="s">
        <v>1838</v>
      </c>
      <c r="H172" s="9" t="s">
        <v>87</v>
      </c>
      <c r="I172" s="27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</row>
    <row r="173" spans="1:27">
      <c r="A173" s="27">
        <v>176</v>
      </c>
      <c r="B173" s="27">
        <v>3</v>
      </c>
      <c r="C173" s="27" t="s">
        <v>1457</v>
      </c>
      <c r="D173" s="31" t="s">
        <v>1839</v>
      </c>
      <c r="E173" s="27" t="s">
        <v>23</v>
      </c>
      <c r="F173" s="27" t="s">
        <v>1840</v>
      </c>
      <c r="G173" s="27" t="s">
        <v>1841</v>
      </c>
      <c r="H173" s="9" t="s">
        <v>90</v>
      </c>
      <c r="I173" s="27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</row>
    <row r="174" spans="1:27">
      <c r="A174" s="27">
        <v>177</v>
      </c>
      <c r="B174" s="27">
        <v>3</v>
      </c>
      <c r="C174" s="27" t="s">
        <v>1457</v>
      </c>
      <c r="D174" s="31" t="s">
        <v>1361</v>
      </c>
      <c r="E174" s="27" t="s">
        <v>12</v>
      </c>
      <c r="F174" s="27" t="s">
        <v>1842</v>
      </c>
      <c r="G174" s="27" t="s">
        <v>1843</v>
      </c>
      <c r="H174" s="9" t="s">
        <v>87</v>
      </c>
      <c r="I174" s="27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</row>
    <row r="175" spans="1:27">
      <c r="A175" s="27">
        <v>178</v>
      </c>
      <c r="B175" s="27">
        <v>7</v>
      </c>
      <c r="C175" s="27" t="s">
        <v>1439</v>
      </c>
      <c r="D175" s="31" t="s">
        <v>1362</v>
      </c>
      <c r="E175" s="27" t="s">
        <v>23</v>
      </c>
      <c r="F175" s="27" t="s">
        <v>1844</v>
      </c>
      <c r="G175" s="27" t="s">
        <v>1845</v>
      </c>
      <c r="H175" s="9" t="s">
        <v>107</v>
      </c>
      <c r="I175" s="27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</row>
    <row r="176" spans="1:27">
      <c r="A176" s="27">
        <v>179</v>
      </c>
      <c r="B176" s="27">
        <v>9</v>
      </c>
      <c r="C176" s="27" t="s">
        <v>1502</v>
      </c>
      <c r="D176" s="31" t="s">
        <v>235</v>
      </c>
      <c r="E176" s="27" t="s">
        <v>12</v>
      </c>
      <c r="F176" s="27" t="s">
        <v>236</v>
      </c>
      <c r="G176" s="27" t="s">
        <v>1846</v>
      </c>
      <c r="H176" s="9" t="s">
        <v>34</v>
      </c>
      <c r="I176" s="27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</row>
    <row r="177" spans="1:27">
      <c r="A177" s="27">
        <v>180</v>
      </c>
      <c r="B177" s="27">
        <v>17</v>
      </c>
      <c r="C177" s="27"/>
      <c r="D177" s="31" t="s">
        <v>1847</v>
      </c>
      <c r="E177" s="27" t="s">
        <v>12</v>
      </c>
      <c r="F177" s="27" t="s">
        <v>1848</v>
      </c>
      <c r="G177" s="27" t="s">
        <v>1849</v>
      </c>
      <c r="H177" s="9" t="s">
        <v>87</v>
      </c>
      <c r="I177" s="27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</row>
    <row r="178" spans="1:27">
      <c r="A178" s="27">
        <v>181</v>
      </c>
      <c r="B178" s="27">
        <v>5</v>
      </c>
      <c r="C178" s="27" t="s">
        <v>1487</v>
      </c>
      <c r="D178" s="31" t="s">
        <v>237</v>
      </c>
      <c r="E178" s="27" t="s">
        <v>23</v>
      </c>
      <c r="F178" s="27" t="s">
        <v>239</v>
      </c>
      <c r="G178" s="27" t="s">
        <v>1850</v>
      </c>
      <c r="H178" s="9" t="s">
        <v>150</v>
      </c>
      <c r="I178" s="27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</row>
    <row r="179" spans="1:27">
      <c r="A179" s="27">
        <v>182</v>
      </c>
      <c r="B179" s="27">
        <v>11</v>
      </c>
      <c r="C179" s="27" t="s">
        <v>1450</v>
      </c>
      <c r="D179" s="31" t="s">
        <v>1851</v>
      </c>
      <c r="E179" s="27" t="s">
        <v>23</v>
      </c>
      <c r="F179" s="27" t="s">
        <v>1852</v>
      </c>
      <c r="G179" s="27" t="s">
        <v>1853</v>
      </c>
      <c r="H179" s="9" t="s">
        <v>90</v>
      </c>
      <c r="I179" s="27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</row>
    <row r="180" spans="1:27">
      <c r="A180" s="27">
        <v>183</v>
      </c>
      <c r="B180" s="27">
        <v>11</v>
      </c>
      <c r="C180" s="27" t="s">
        <v>1450</v>
      </c>
      <c r="D180" s="31" t="s">
        <v>1364</v>
      </c>
      <c r="E180" s="27" t="s">
        <v>1854</v>
      </c>
      <c r="F180" s="27" t="s">
        <v>1855</v>
      </c>
      <c r="G180" s="27" t="s">
        <v>1856</v>
      </c>
      <c r="H180" s="9" t="s">
        <v>30</v>
      </c>
      <c r="I180" s="27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</row>
    <row r="181" spans="1:27">
      <c r="A181" s="27">
        <v>184</v>
      </c>
      <c r="B181" s="27">
        <v>11</v>
      </c>
      <c r="C181" s="27" t="s">
        <v>1450</v>
      </c>
      <c r="D181" s="31" t="s">
        <v>1365</v>
      </c>
      <c r="E181" s="27" t="s">
        <v>819</v>
      </c>
      <c r="F181" s="27" t="s">
        <v>1857</v>
      </c>
      <c r="G181" s="27" t="s">
        <v>1858</v>
      </c>
      <c r="H181" s="9" t="s">
        <v>30</v>
      </c>
      <c r="I181" s="27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</row>
    <row r="182" spans="1:27">
      <c r="A182" s="27">
        <v>185</v>
      </c>
      <c r="B182" s="27">
        <v>7</v>
      </c>
      <c r="C182" s="27" t="s">
        <v>1439</v>
      </c>
      <c r="D182" s="31" t="s">
        <v>1859</v>
      </c>
      <c r="E182" s="27" t="s">
        <v>74</v>
      </c>
      <c r="F182" s="27" t="s">
        <v>1860</v>
      </c>
      <c r="G182" s="27" t="s">
        <v>1861</v>
      </c>
      <c r="H182" s="9" t="s">
        <v>30</v>
      </c>
      <c r="I182" s="27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</row>
    <row r="183" spans="1:27">
      <c r="A183" s="27">
        <v>186</v>
      </c>
      <c r="B183" s="27">
        <v>6</v>
      </c>
      <c r="C183" s="27" t="s">
        <v>1443</v>
      </c>
      <c r="D183" s="31" t="s">
        <v>1368</v>
      </c>
      <c r="E183" s="27" t="s">
        <v>1862</v>
      </c>
      <c r="F183" s="27" t="s">
        <v>1860</v>
      </c>
      <c r="G183" s="27" t="s">
        <v>1863</v>
      </c>
      <c r="H183" s="9" t="s">
        <v>87</v>
      </c>
      <c r="I183" s="27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</row>
    <row r="184" spans="1:27">
      <c r="A184" s="27">
        <v>187</v>
      </c>
      <c r="B184" s="27">
        <v>2</v>
      </c>
      <c r="C184" s="27" t="s">
        <v>1511</v>
      </c>
      <c r="D184" s="31" t="s">
        <v>1864</v>
      </c>
      <c r="E184" s="27" t="s">
        <v>12</v>
      </c>
      <c r="F184" s="27" t="s">
        <v>1865</v>
      </c>
      <c r="G184" s="27" t="s">
        <v>1866</v>
      </c>
      <c r="H184" s="9" t="s">
        <v>150</v>
      </c>
      <c r="I184" s="27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</row>
    <row r="185" spans="1:27">
      <c r="A185" s="27">
        <v>188</v>
      </c>
      <c r="B185" s="27">
        <v>17</v>
      </c>
      <c r="C185" s="27" t="s">
        <v>1500</v>
      </c>
      <c r="D185" s="32" t="s">
        <v>1867</v>
      </c>
      <c r="E185" s="27" t="s">
        <v>12</v>
      </c>
      <c r="F185" s="27" t="s">
        <v>1868</v>
      </c>
      <c r="G185" s="27" t="s">
        <v>1869</v>
      </c>
      <c r="H185" s="9" t="s">
        <v>87</v>
      </c>
      <c r="I185" s="27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</row>
    <row r="186" spans="1:27">
      <c r="A186" s="27">
        <v>189</v>
      </c>
      <c r="B186" s="27">
        <v>2</v>
      </c>
      <c r="C186" s="27" t="s">
        <v>1511</v>
      </c>
      <c r="D186" s="31" t="s">
        <v>1367</v>
      </c>
      <c r="E186" s="27" t="s">
        <v>23</v>
      </c>
      <c r="F186" s="27" t="s">
        <v>1870</v>
      </c>
      <c r="G186" s="27" t="s">
        <v>1871</v>
      </c>
      <c r="H186" s="9" t="s">
        <v>48</v>
      </c>
      <c r="I186" s="27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</row>
    <row r="187" spans="1:27">
      <c r="A187" s="27">
        <v>190</v>
      </c>
      <c r="B187" s="27">
        <v>13</v>
      </c>
      <c r="C187" s="27" t="s">
        <v>1468</v>
      </c>
      <c r="D187" s="31" t="s">
        <v>1369</v>
      </c>
      <c r="E187" s="27" t="s">
        <v>12</v>
      </c>
      <c r="F187" s="27" t="s">
        <v>254</v>
      </c>
      <c r="G187" s="27" t="s">
        <v>1872</v>
      </c>
      <c r="H187" s="9" t="s">
        <v>87</v>
      </c>
      <c r="I187" s="27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</row>
    <row r="188" spans="1:27">
      <c r="A188" s="27">
        <v>191</v>
      </c>
      <c r="B188" s="27">
        <v>6</v>
      </c>
      <c r="C188" s="27" t="s">
        <v>1443</v>
      </c>
      <c r="D188" s="31" t="s">
        <v>1372</v>
      </c>
      <c r="E188" s="27" t="s">
        <v>12</v>
      </c>
      <c r="F188" s="27" t="s">
        <v>1873</v>
      </c>
      <c r="G188" s="27" t="s">
        <v>1874</v>
      </c>
      <c r="H188" s="9" t="s">
        <v>150</v>
      </c>
      <c r="I188" s="27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</row>
    <row r="189" spans="1:27">
      <c r="A189" s="27">
        <v>192</v>
      </c>
      <c r="B189" s="27">
        <v>18</v>
      </c>
      <c r="C189" s="27" t="s">
        <v>1435</v>
      </c>
      <c r="D189" s="31" t="s">
        <v>1875</v>
      </c>
      <c r="E189" s="27" t="s">
        <v>12</v>
      </c>
      <c r="F189" s="27" t="s">
        <v>1876</v>
      </c>
      <c r="G189" s="27" t="s">
        <v>1877</v>
      </c>
      <c r="H189" s="9" t="s">
        <v>87</v>
      </c>
      <c r="I189" s="27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</row>
    <row r="190" spans="1:27">
      <c r="A190" s="27">
        <v>193</v>
      </c>
      <c r="B190" s="27">
        <v>2</v>
      </c>
      <c r="C190" s="27" t="s">
        <v>1511</v>
      </c>
      <c r="D190" s="31" t="s">
        <v>1878</v>
      </c>
      <c r="E190" s="27" t="s">
        <v>105</v>
      </c>
      <c r="F190" s="27" t="s">
        <v>1879</v>
      </c>
      <c r="G190" s="27" t="s">
        <v>1880</v>
      </c>
      <c r="H190" s="9" t="s">
        <v>107</v>
      </c>
      <c r="I190" s="27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</row>
    <row r="191" spans="1:27">
      <c r="A191" s="27">
        <v>194</v>
      </c>
      <c r="B191" s="27">
        <v>10</v>
      </c>
      <c r="C191" s="27" t="s">
        <v>1485</v>
      </c>
      <c r="D191" s="31" t="s">
        <v>1374</v>
      </c>
      <c r="E191" s="27" t="s">
        <v>12</v>
      </c>
      <c r="F191" s="27" t="s">
        <v>1881</v>
      </c>
      <c r="G191" s="27" t="s">
        <v>1882</v>
      </c>
      <c r="H191" s="9" t="s">
        <v>87</v>
      </c>
      <c r="I191" s="27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</row>
    <row r="192" spans="1:27">
      <c r="A192" s="27">
        <v>195</v>
      </c>
      <c r="B192" s="27">
        <v>8</v>
      </c>
      <c r="C192" s="27" t="s">
        <v>1494</v>
      </c>
      <c r="D192" s="31" t="s">
        <v>1373</v>
      </c>
      <c r="E192" s="27" t="s">
        <v>105</v>
      </c>
      <c r="F192" s="27" t="s">
        <v>1883</v>
      </c>
      <c r="G192" s="27" t="s">
        <v>1884</v>
      </c>
      <c r="H192" s="30" t="s">
        <v>64</v>
      </c>
      <c r="I192" s="27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</row>
    <row r="193" spans="1:27">
      <c r="A193" s="27">
        <v>196</v>
      </c>
      <c r="B193" s="27">
        <v>18</v>
      </c>
      <c r="C193" s="27" t="s">
        <v>1435</v>
      </c>
      <c r="D193" s="31" t="s">
        <v>1885</v>
      </c>
      <c r="E193" s="27" t="s">
        <v>12</v>
      </c>
      <c r="F193" s="27" t="s">
        <v>1886</v>
      </c>
      <c r="G193" s="27" t="s">
        <v>1887</v>
      </c>
      <c r="H193" s="9" t="s">
        <v>87</v>
      </c>
      <c r="I193" s="27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</row>
    <row r="194" spans="1:27">
      <c r="A194" s="27">
        <v>197</v>
      </c>
      <c r="B194" s="27">
        <v>6</v>
      </c>
      <c r="C194" s="27" t="s">
        <v>1443</v>
      </c>
      <c r="D194" s="31" t="s">
        <v>1888</v>
      </c>
      <c r="E194" s="27" t="s">
        <v>12</v>
      </c>
      <c r="F194" s="27" t="s">
        <v>1889</v>
      </c>
      <c r="G194" s="27" t="s">
        <v>1890</v>
      </c>
      <c r="H194" s="9" t="s">
        <v>87</v>
      </c>
      <c r="I194" s="27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</row>
    <row r="195" spans="1:27">
      <c r="A195" s="27">
        <v>198</v>
      </c>
      <c r="B195" s="27"/>
      <c r="C195" s="27"/>
      <c r="D195" s="31" t="s">
        <v>1376</v>
      </c>
      <c r="E195" s="27" t="s">
        <v>54</v>
      </c>
      <c r="F195" s="27" t="s">
        <v>1891</v>
      </c>
      <c r="G195" s="27" t="s">
        <v>1892</v>
      </c>
      <c r="H195" s="9" t="s">
        <v>30</v>
      </c>
      <c r="I195" s="27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</row>
    <row r="196" spans="1:27">
      <c r="A196" s="27">
        <v>199</v>
      </c>
      <c r="B196" s="27">
        <v>16</v>
      </c>
      <c r="C196" s="27" t="s">
        <v>1459</v>
      </c>
      <c r="D196" s="31" t="s">
        <v>1377</v>
      </c>
      <c r="E196" s="27" t="s">
        <v>23</v>
      </c>
      <c r="F196" s="27" t="s">
        <v>1891</v>
      </c>
      <c r="G196" s="27" t="s">
        <v>1893</v>
      </c>
      <c r="H196" s="30" t="s">
        <v>64</v>
      </c>
      <c r="I196" s="27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</row>
    <row r="197" spans="1:27">
      <c r="A197" s="27">
        <v>200</v>
      </c>
      <c r="B197" s="27">
        <v>4</v>
      </c>
      <c r="C197" s="27" t="s">
        <v>1495</v>
      </c>
      <c r="D197" s="31" t="s">
        <v>1371</v>
      </c>
      <c r="E197" s="27" t="s">
        <v>23</v>
      </c>
      <c r="F197" s="27" t="s">
        <v>1894</v>
      </c>
      <c r="G197" s="27" t="s">
        <v>1895</v>
      </c>
      <c r="H197" s="9" t="s">
        <v>34</v>
      </c>
      <c r="I197" s="27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</row>
    <row r="198" spans="1:27">
      <c r="A198" s="27">
        <v>201</v>
      </c>
      <c r="B198" s="27" t="s">
        <v>1896</v>
      </c>
      <c r="C198" s="27" t="s">
        <v>1897</v>
      </c>
      <c r="D198" s="31" t="s">
        <v>1898</v>
      </c>
      <c r="E198" s="27" t="s">
        <v>1899</v>
      </c>
      <c r="F198" s="27" t="s">
        <v>1900</v>
      </c>
      <c r="G198" s="27" t="s">
        <v>1901</v>
      </c>
      <c r="H198" s="9" t="s">
        <v>30</v>
      </c>
      <c r="I198" s="27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</row>
    <row r="199" spans="1:27">
      <c r="A199" s="27">
        <v>202</v>
      </c>
      <c r="B199" s="27">
        <v>12</v>
      </c>
      <c r="C199" s="27" t="s">
        <v>1446</v>
      </c>
      <c r="D199" s="31" t="s">
        <v>1381</v>
      </c>
      <c r="E199" s="27" t="s">
        <v>12</v>
      </c>
      <c r="F199" s="27" t="s">
        <v>1902</v>
      </c>
      <c r="G199" s="27" t="s">
        <v>1903</v>
      </c>
      <c r="H199" s="9" t="s">
        <v>87</v>
      </c>
      <c r="I199" s="27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</row>
    <row r="200" spans="1:27">
      <c r="A200" s="27">
        <v>203</v>
      </c>
      <c r="B200" s="27">
        <v>1</v>
      </c>
      <c r="C200" s="27" t="s">
        <v>1453</v>
      </c>
      <c r="D200" s="31" t="s">
        <v>266</v>
      </c>
      <c r="E200" s="27" t="s">
        <v>12</v>
      </c>
      <c r="F200" s="27" t="s">
        <v>267</v>
      </c>
      <c r="G200" s="27" t="s">
        <v>1904</v>
      </c>
      <c r="H200" s="9" t="s">
        <v>87</v>
      </c>
      <c r="I200" s="27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</row>
    <row r="201" spans="1:27">
      <c r="A201" s="27">
        <v>204</v>
      </c>
      <c r="B201" s="27">
        <v>12</v>
      </c>
      <c r="C201" s="27" t="s">
        <v>1446</v>
      </c>
      <c r="D201" s="31" t="s">
        <v>1378</v>
      </c>
      <c r="E201" s="27" t="s">
        <v>23</v>
      </c>
      <c r="F201" s="27" t="s">
        <v>267</v>
      </c>
      <c r="G201" s="27" t="s">
        <v>1905</v>
      </c>
      <c r="H201" s="9" t="s">
        <v>94</v>
      </c>
      <c r="I201" s="27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</row>
    <row r="202" spans="1:27">
      <c r="A202" s="27">
        <v>205</v>
      </c>
      <c r="B202" s="27">
        <v>7</v>
      </c>
      <c r="C202" s="27" t="s">
        <v>1439</v>
      </c>
      <c r="D202" s="31" t="s">
        <v>1906</v>
      </c>
      <c r="E202" s="27" t="s">
        <v>12</v>
      </c>
      <c r="F202" s="27" t="s">
        <v>1907</v>
      </c>
      <c r="G202" s="27" t="s">
        <v>1908</v>
      </c>
      <c r="H202" s="9" t="s">
        <v>87</v>
      </c>
      <c r="I202" s="27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</row>
    <row r="203" spans="1:27">
      <c r="A203" s="27">
        <v>206</v>
      </c>
      <c r="B203" s="27">
        <v>11</v>
      </c>
      <c r="C203" s="27" t="s">
        <v>1450</v>
      </c>
      <c r="D203" s="31" t="s">
        <v>1909</v>
      </c>
      <c r="E203" s="27" t="s">
        <v>12</v>
      </c>
      <c r="F203" s="27" t="s">
        <v>1910</v>
      </c>
      <c r="G203" s="27" t="s">
        <v>1911</v>
      </c>
      <c r="H203" s="9" t="s">
        <v>150</v>
      </c>
      <c r="I203" s="27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</row>
    <row r="204" spans="1:27">
      <c r="A204" s="27">
        <v>207</v>
      </c>
      <c r="B204" s="27"/>
      <c r="C204" s="27"/>
      <c r="D204" s="31" t="s">
        <v>1912</v>
      </c>
      <c r="E204" s="27" t="s">
        <v>23</v>
      </c>
      <c r="F204" s="27" t="s">
        <v>1913</v>
      </c>
      <c r="G204" s="27" t="s">
        <v>1914</v>
      </c>
      <c r="H204" s="9" t="s">
        <v>7</v>
      </c>
      <c r="I204" s="27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</row>
    <row r="205" spans="1:27">
      <c r="A205" s="27">
        <v>208</v>
      </c>
      <c r="B205" s="27">
        <v>14</v>
      </c>
      <c r="C205" s="27" t="s">
        <v>1455</v>
      </c>
      <c r="D205" s="31" t="s">
        <v>1379</v>
      </c>
      <c r="E205" s="27" t="s">
        <v>23</v>
      </c>
      <c r="F205" s="27" t="s">
        <v>1915</v>
      </c>
      <c r="G205" s="27" t="s">
        <v>1916</v>
      </c>
      <c r="H205" s="9" t="s">
        <v>48</v>
      </c>
      <c r="I205" s="27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</row>
    <row r="206" spans="1:27">
      <c r="A206" s="27">
        <v>209</v>
      </c>
      <c r="B206" s="27">
        <v>18</v>
      </c>
      <c r="C206" s="27" t="s">
        <v>1435</v>
      </c>
      <c r="D206" s="31" t="s">
        <v>1380</v>
      </c>
      <c r="E206" s="27" t="s">
        <v>23</v>
      </c>
      <c r="F206" s="27" t="s">
        <v>1917</v>
      </c>
      <c r="G206" s="27" t="s">
        <v>1918</v>
      </c>
      <c r="H206" s="9" t="s">
        <v>48</v>
      </c>
      <c r="I206" s="27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</row>
    <row r="207" spans="1:27">
      <c r="A207" s="27">
        <v>210</v>
      </c>
      <c r="B207" s="27">
        <v>5</v>
      </c>
      <c r="C207" s="27" t="s">
        <v>1487</v>
      </c>
      <c r="D207" s="31" t="s">
        <v>1919</v>
      </c>
      <c r="E207" s="27" t="s">
        <v>23</v>
      </c>
      <c r="F207" s="27" t="s">
        <v>1920</v>
      </c>
      <c r="G207" s="27" t="s">
        <v>1921</v>
      </c>
      <c r="H207" s="9" t="s">
        <v>48</v>
      </c>
      <c r="I207" s="27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</row>
    <row r="208" spans="1:27">
      <c r="A208" s="27">
        <v>211</v>
      </c>
      <c r="B208" s="27">
        <v>9</v>
      </c>
      <c r="C208" s="27" t="s">
        <v>1802</v>
      </c>
      <c r="D208" s="31" t="s">
        <v>1922</v>
      </c>
      <c r="E208" s="27" t="s">
        <v>74</v>
      </c>
      <c r="F208" s="27" t="s">
        <v>1923</v>
      </c>
      <c r="G208" s="27" t="s">
        <v>1924</v>
      </c>
      <c r="H208" s="9" t="s">
        <v>30</v>
      </c>
      <c r="I208" s="27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</row>
    <row r="209" spans="1:27">
      <c r="A209" s="27">
        <v>212</v>
      </c>
      <c r="B209" s="27">
        <v>11</v>
      </c>
      <c r="C209" s="27" t="s">
        <v>1450</v>
      </c>
      <c r="D209" s="31" t="s">
        <v>1366</v>
      </c>
      <c r="E209" s="27" t="s">
        <v>23</v>
      </c>
      <c r="F209" s="27" t="s">
        <v>1925</v>
      </c>
      <c r="G209" s="27" t="s">
        <v>1926</v>
      </c>
      <c r="H209" s="9" t="s">
        <v>48</v>
      </c>
      <c r="I209" s="27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</row>
    <row r="210" spans="1:27">
      <c r="A210" s="27">
        <v>213</v>
      </c>
      <c r="B210" s="27">
        <v>12</v>
      </c>
      <c r="C210" s="27" t="s">
        <v>1446</v>
      </c>
      <c r="D210" s="31" t="s">
        <v>1927</v>
      </c>
      <c r="E210" s="27" t="s">
        <v>23</v>
      </c>
      <c r="F210" s="27" t="s">
        <v>1928</v>
      </c>
      <c r="G210" s="27" t="s">
        <v>1929</v>
      </c>
      <c r="H210" s="9" t="s">
        <v>34</v>
      </c>
      <c r="I210" s="27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</row>
    <row r="211" spans="1:27">
      <c r="A211" s="27">
        <v>214</v>
      </c>
      <c r="B211" s="27">
        <v>7</v>
      </c>
      <c r="C211" s="27" t="s">
        <v>1439</v>
      </c>
      <c r="D211" s="31" t="s">
        <v>271</v>
      </c>
      <c r="E211" s="27" t="s">
        <v>54</v>
      </c>
      <c r="F211" s="27" t="s">
        <v>272</v>
      </c>
      <c r="G211" s="27" t="s">
        <v>1930</v>
      </c>
      <c r="H211" s="9" t="s">
        <v>30</v>
      </c>
      <c r="I211" s="27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</row>
    <row r="212" spans="1:27">
      <c r="A212" s="27">
        <v>215</v>
      </c>
      <c r="B212" s="27">
        <v>15</v>
      </c>
      <c r="C212" s="27" t="s">
        <v>1516</v>
      </c>
      <c r="D212" s="31" t="s">
        <v>1382</v>
      </c>
      <c r="E212" s="27" t="s">
        <v>451</v>
      </c>
      <c r="F212" s="27" t="s">
        <v>1931</v>
      </c>
      <c r="G212" s="27" t="s">
        <v>1932</v>
      </c>
      <c r="H212" s="9" t="s">
        <v>34</v>
      </c>
      <c r="I212" s="27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</row>
    <row r="213" spans="1:27">
      <c r="A213" s="27">
        <v>216</v>
      </c>
      <c r="B213" s="27">
        <v>11</v>
      </c>
      <c r="C213" s="27" t="s">
        <v>1450</v>
      </c>
      <c r="D213" s="31" t="s">
        <v>1383</v>
      </c>
      <c r="E213" s="27" t="s">
        <v>23</v>
      </c>
      <c r="F213" s="27" t="s">
        <v>1933</v>
      </c>
      <c r="G213" s="27" t="s">
        <v>1934</v>
      </c>
      <c r="H213" s="9" t="s">
        <v>87</v>
      </c>
      <c r="I213" s="27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</row>
    <row r="214" spans="1:27">
      <c r="A214" s="27">
        <v>217</v>
      </c>
      <c r="B214" s="27">
        <v>7</v>
      </c>
      <c r="C214" s="27" t="s">
        <v>1439</v>
      </c>
      <c r="D214" s="31" t="s">
        <v>1935</v>
      </c>
      <c r="E214" s="27" t="s">
        <v>105</v>
      </c>
      <c r="F214" s="27" t="s">
        <v>936</v>
      </c>
      <c r="G214" s="27" t="s">
        <v>1936</v>
      </c>
      <c r="H214" s="9" t="s">
        <v>107</v>
      </c>
      <c r="I214" s="27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</row>
    <row r="215" spans="1:27">
      <c r="A215" s="27">
        <v>218</v>
      </c>
      <c r="B215" s="27">
        <v>4</v>
      </c>
      <c r="C215" s="27" t="s">
        <v>1495</v>
      </c>
      <c r="D215" s="31" t="s">
        <v>1937</v>
      </c>
      <c r="E215" s="27" t="s">
        <v>105</v>
      </c>
      <c r="F215" s="27" t="s">
        <v>279</v>
      </c>
      <c r="G215" s="27" t="s">
        <v>1938</v>
      </c>
      <c r="H215" s="9" t="s">
        <v>107</v>
      </c>
      <c r="I215" s="27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</row>
    <row r="216" spans="1:27">
      <c r="A216" s="27">
        <v>219</v>
      </c>
      <c r="B216" s="27">
        <v>13</v>
      </c>
      <c r="C216" s="27" t="s">
        <v>1468</v>
      </c>
      <c r="D216" s="31" t="s">
        <v>1384</v>
      </c>
      <c r="E216" s="27" t="s">
        <v>23</v>
      </c>
      <c r="F216" s="27" t="s">
        <v>279</v>
      </c>
      <c r="G216" s="27" t="s">
        <v>1939</v>
      </c>
      <c r="H216" s="9" t="s">
        <v>48</v>
      </c>
      <c r="I216" s="27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</row>
    <row r="217" spans="1:27">
      <c r="A217" s="27">
        <v>220</v>
      </c>
      <c r="B217" s="27">
        <v>10</v>
      </c>
      <c r="C217" s="27" t="s">
        <v>1485</v>
      </c>
      <c r="D217" s="31" t="s">
        <v>1385</v>
      </c>
      <c r="E217" s="27" t="s">
        <v>54</v>
      </c>
      <c r="F217" s="27" t="s">
        <v>1940</v>
      </c>
      <c r="G217" s="27" t="s">
        <v>1941</v>
      </c>
      <c r="H217" s="9" t="s">
        <v>30</v>
      </c>
      <c r="I217" s="27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</row>
    <row r="218" spans="1:27">
      <c r="A218" s="27">
        <v>221</v>
      </c>
      <c r="B218" s="27">
        <v>7</v>
      </c>
      <c r="C218" s="27" t="s">
        <v>1439</v>
      </c>
      <c r="D218" s="31" t="s">
        <v>1942</v>
      </c>
      <c r="E218" s="27" t="s">
        <v>451</v>
      </c>
      <c r="F218" s="27" t="s">
        <v>1943</v>
      </c>
      <c r="G218" s="27" t="s">
        <v>1944</v>
      </c>
      <c r="H218" s="9" t="s">
        <v>150</v>
      </c>
      <c r="I218" s="27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</row>
    <row r="219" spans="1:27">
      <c r="A219" s="27">
        <v>222</v>
      </c>
      <c r="B219" s="27">
        <v>10</v>
      </c>
      <c r="C219" s="27" t="s">
        <v>1485</v>
      </c>
      <c r="D219" s="31" t="s">
        <v>1386</v>
      </c>
      <c r="E219" s="27" t="s">
        <v>23</v>
      </c>
      <c r="F219" s="27" t="s">
        <v>1945</v>
      </c>
      <c r="G219" s="27" t="s">
        <v>1946</v>
      </c>
      <c r="H219" s="9" t="s">
        <v>48</v>
      </c>
      <c r="I219" s="27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</row>
    <row r="220" spans="1:27">
      <c r="A220" s="27">
        <v>223</v>
      </c>
      <c r="B220" s="27">
        <v>9</v>
      </c>
      <c r="C220" s="27" t="s">
        <v>1502</v>
      </c>
      <c r="D220" s="31" t="s">
        <v>1387</v>
      </c>
      <c r="E220" s="27" t="s">
        <v>23</v>
      </c>
      <c r="F220" s="27" t="s">
        <v>1947</v>
      </c>
      <c r="G220" s="27" t="s">
        <v>1948</v>
      </c>
      <c r="H220" s="9" t="s">
        <v>87</v>
      </c>
      <c r="I220" s="27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</row>
    <row r="221" spans="1:27">
      <c r="A221" s="27">
        <v>224</v>
      </c>
      <c r="B221" s="27">
        <v>12</v>
      </c>
      <c r="C221" s="27" t="s">
        <v>1446</v>
      </c>
      <c r="D221" s="31" t="s">
        <v>1949</v>
      </c>
      <c r="E221" s="27" t="s">
        <v>12</v>
      </c>
      <c r="F221" s="27" t="s">
        <v>1950</v>
      </c>
      <c r="G221" s="27" t="s">
        <v>1951</v>
      </c>
      <c r="H221" s="9" t="s">
        <v>48</v>
      </c>
      <c r="I221" s="27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</row>
    <row r="222" spans="1:27">
      <c r="A222" s="27">
        <v>225</v>
      </c>
      <c r="B222" s="27">
        <v>11</v>
      </c>
      <c r="C222" s="27" t="s">
        <v>1450</v>
      </c>
      <c r="D222" s="31" t="s">
        <v>1952</v>
      </c>
      <c r="E222" s="27" t="s">
        <v>12</v>
      </c>
      <c r="F222" s="27" t="s">
        <v>1953</v>
      </c>
      <c r="G222" s="27" t="s">
        <v>1954</v>
      </c>
      <c r="H222" s="9" t="s">
        <v>34</v>
      </c>
      <c r="I222" s="27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</row>
    <row r="223" spans="1:27">
      <c r="A223" s="27">
        <v>226</v>
      </c>
      <c r="B223" s="27">
        <v>7</v>
      </c>
      <c r="C223" s="27" t="s">
        <v>1439</v>
      </c>
      <c r="D223" s="31" t="s">
        <v>1388</v>
      </c>
      <c r="E223" s="27" t="s">
        <v>12</v>
      </c>
      <c r="F223" s="27" t="s">
        <v>1955</v>
      </c>
      <c r="G223" s="27" t="s">
        <v>1956</v>
      </c>
      <c r="H223" s="9" t="s">
        <v>48</v>
      </c>
      <c r="I223" s="27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</row>
    <row r="224" spans="1:27">
      <c r="A224" s="27">
        <v>227</v>
      </c>
      <c r="B224" s="27">
        <v>8</v>
      </c>
      <c r="C224" s="27" t="s">
        <v>1494</v>
      </c>
      <c r="D224" s="31" t="s">
        <v>1389</v>
      </c>
      <c r="E224" s="27" t="s">
        <v>105</v>
      </c>
      <c r="F224" s="27" t="s">
        <v>1957</v>
      </c>
      <c r="G224" s="27" t="s">
        <v>1958</v>
      </c>
      <c r="H224" s="9" t="s">
        <v>15</v>
      </c>
      <c r="I224" s="27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</row>
    <row r="225" spans="1:27">
      <c r="A225" s="27">
        <v>228</v>
      </c>
      <c r="B225" s="27">
        <v>11</v>
      </c>
      <c r="C225" s="27" t="s">
        <v>1450</v>
      </c>
      <c r="D225" s="31" t="s">
        <v>1959</v>
      </c>
      <c r="E225" s="27" t="s">
        <v>12</v>
      </c>
      <c r="F225" s="27" t="s">
        <v>1960</v>
      </c>
      <c r="G225" s="27" t="s">
        <v>1961</v>
      </c>
      <c r="H225" s="9" t="s">
        <v>15</v>
      </c>
      <c r="I225" s="27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</row>
    <row r="226" spans="1:27">
      <c r="A226" s="27">
        <v>229</v>
      </c>
      <c r="B226" s="27">
        <v>4</v>
      </c>
      <c r="C226" s="27" t="s">
        <v>1495</v>
      </c>
      <c r="D226" s="31" t="s">
        <v>1962</v>
      </c>
      <c r="E226" s="27" t="s">
        <v>1963</v>
      </c>
      <c r="F226" s="27" t="s">
        <v>1964</v>
      </c>
      <c r="G226" s="27" t="s">
        <v>1965</v>
      </c>
      <c r="H226" s="9" t="s">
        <v>30</v>
      </c>
      <c r="I226" s="27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</row>
    <row r="227" spans="1:27">
      <c r="A227" s="27">
        <v>230</v>
      </c>
      <c r="B227" s="27">
        <v>17</v>
      </c>
      <c r="C227" s="27" t="s">
        <v>1500</v>
      </c>
      <c r="D227" s="31" t="s">
        <v>1966</v>
      </c>
      <c r="E227" s="27" t="s">
        <v>1967</v>
      </c>
      <c r="F227" s="27" t="s">
        <v>1968</v>
      </c>
      <c r="G227" s="27" t="s">
        <v>1969</v>
      </c>
      <c r="H227" s="9" t="s">
        <v>30</v>
      </c>
      <c r="I227" s="27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</row>
    <row r="228" spans="1:27">
      <c r="A228" s="27">
        <v>231</v>
      </c>
      <c r="B228" s="27">
        <v>2</v>
      </c>
      <c r="C228" s="27" t="s">
        <v>1511</v>
      </c>
      <c r="D228" s="31" t="s">
        <v>1970</v>
      </c>
      <c r="E228" s="27" t="s">
        <v>105</v>
      </c>
      <c r="F228" s="27" t="s">
        <v>1968</v>
      </c>
      <c r="G228" s="27" t="s">
        <v>1971</v>
      </c>
      <c r="H228" s="9" t="s">
        <v>87</v>
      </c>
      <c r="I228" s="27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</row>
    <row r="229" spans="1:27">
      <c r="A229" s="27">
        <v>232</v>
      </c>
      <c r="B229" s="27">
        <v>16</v>
      </c>
      <c r="C229" s="27" t="s">
        <v>1459</v>
      </c>
      <c r="D229" s="31" t="s">
        <v>1390</v>
      </c>
      <c r="E229" s="27" t="s">
        <v>105</v>
      </c>
      <c r="F229" s="27" t="s">
        <v>1972</v>
      </c>
      <c r="G229" s="27" t="s">
        <v>1973</v>
      </c>
      <c r="H229" s="9" t="s">
        <v>15</v>
      </c>
      <c r="I229" s="27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</row>
    <row r="230" spans="1:27">
      <c r="A230" s="27">
        <v>233</v>
      </c>
      <c r="B230" s="27"/>
      <c r="C230" s="27"/>
      <c r="D230" s="31" t="s">
        <v>1974</v>
      </c>
      <c r="E230" s="27" t="s">
        <v>23</v>
      </c>
      <c r="F230" s="27" t="s">
        <v>1975</v>
      </c>
      <c r="G230" s="27" t="s">
        <v>1976</v>
      </c>
      <c r="H230" s="9" t="s">
        <v>87</v>
      </c>
      <c r="I230" s="27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</row>
    <row r="231" spans="1:27">
      <c r="A231" s="27">
        <v>234</v>
      </c>
      <c r="B231" s="27">
        <v>13</v>
      </c>
      <c r="C231" s="27" t="s">
        <v>1468</v>
      </c>
      <c r="D231" s="31" t="s">
        <v>1392</v>
      </c>
      <c r="E231" s="27" t="s">
        <v>23</v>
      </c>
      <c r="F231" s="27" t="s">
        <v>1977</v>
      </c>
      <c r="G231" s="27" t="s">
        <v>1978</v>
      </c>
      <c r="H231" s="9" t="s">
        <v>7</v>
      </c>
      <c r="I231" s="27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</row>
    <row r="232" spans="1:27">
      <c r="A232" s="27">
        <v>235</v>
      </c>
      <c r="B232" s="27">
        <v>15</v>
      </c>
      <c r="C232" s="27" t="s">
        <v>1516</v>
      </c>
      <c r="D232" s="31" t="s">
        <v>1391</v>
      </c>
      <c r="E232" s="27" t="s">
        <v>819</v>
      </c>
      <c r="F232" s="27" t="s">
        <v>1979</v>
      </c>
      <c r="G232" s="27" t="s">
        <v>1980</v>
      </c>
      <c r="H232" s="9" t="s">
        <v>30</v>
      </c>
      <c r="I232" s="27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</row>
    <row r="233" spans="1:27">
      <c r="A233" s="27">
        <v>236</v>
      </c>
      <c r="B233" s="27"/>
      <c r="C233" s="27"/>
      <c r="D233" s="31" t="s">
        <v>1981</v>
      </c>
      <c r="E233" s="27" t="s">
        <v>23</v>
      </c>
      <c r="F233" s="27" t="s">
        <v>1982</v>
      </c>
      <c r="G233" s="27" t="s">
        <v>1983</v>
      </c>
      <c r="H233" s="9" t="s">
        <v>7</v>
      </c>
      <c r="I233" s="27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</row>
    <row r="234" spans="1:27">
      <c r="A234" s="27">
        <v>237</v>
      </c>
      <c r="B234" s="27">
        <v>3</v>
      </c>
      <c r="C234" s="27" t="s">
        <v>1457</v>
      </c>
      <c r="D234" s="31" t="s">
        <v>1984</v>
      </c>
      <c r="E234" s="27" t="s">
        <v>23</v>
      </c>
      <c r="F234" s="27" t="s">
        <v>1985</v>
      </c>
      <c r="G234" s="27" t="s">
        <v>1986</v>
      </c>
      <c r="H234" s="9" t="s">
        <v>48</v>
      </c>
      <c r="I234" s="27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</row>
    <row r="235" spans="1:27">
      <c r="A235" s="27">
        <v>238</v>
      </c>
      <c r="B235" s="27"/>
      <c r="C235" s="27"/>
      <c r="D235" s="31" t="s">
        <v>1393</v>
      </c>
      <c r="E235" s="27" t="s">
        <v>12</v>
      </c>
      <c r="F235" s="27" t="s">
        <v>1987</v>
      </c>
      <c r="G235" s="27" t="s">
        <v>1988</v>
      </c>
      <c r="H235" s="9" t="s">
        <v>15</v>
      </c>
      <c r="I235" s="27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</row>
    <row r="236" spans="1:27">
      <c r="A236" s="27">
        <v>239</v>
      </c>
      <c r="B236" s="27"/>
      <c r="C236" s="27"/>
      <c r="D236" s="31" t="s">
        <v>1394</v>
      </c>
      <c r="E236" s="27" t="s">
        <v>23</v>
      </c>
      <c r="F236" s="27" t="s">
        <v>1989</v>
      </c>
      <c r="G236" s="27" t="s">
        <v>1990</v>
      </c>
      <c r="H236" s="9" t="s">
        <v>48</v>
      </c>
      <c r="I236" s="27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</row>
    <row r="237" spans="1:27">
      <c r="A237" s="27">
        <v>240</v>
      </c>
      <c r="B237" s="27">
        <v>18</v>
      </c>
      <c r="C237" s="27" t="s">
        <v>1435</v>
      </c>
      <c r="D237" s="31" t="s">
        <v>1991</v>
      </c>
      <c r="E237" s="27" t="s">
        <v>23</v>
      </c>
      <c r="F237" s="27" t="s">
        <v>1992</v>
      </c>
      <c r="G237" s="27" t="s">
        <v>1993</v>
      </c>
      <c r="H237" s="9" t="s">
        <v>87</v>
      </c>
      <c r="I237" s="27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</row>
    <row r="238" spans="1:27">
      <c r="A238" s="27">
        <v>241</v>
      </c>
      <c r="B238" s="27">
        <v>13</v>
      </c>
      <c r="C238" s="27" t="s">
        <v>1468</v>
      </c>
      <c r="D238" s="31" t="s">
        <v>1395</v>
      </c>
      <c r="E238" s="27" t="s">
        <v>12</v>
      </c>
      <c r="F238" s="27" t="s">
        <v>1994</v>
      </c>
      <c r="G238" s="27" t="s">
        <v>1995</v>
      </c>
      <c r="H238" s="9" t="s">
        <v>94</v>
      </c>
      <c r="I238" s="27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</row>
    <row r="239" spans="1:27">
      <c r="A239" s="27">
        <v>242</v>
      </c>
      <c r="B239" s="27">
        <v>15</v>
      </c>
      <c r="C239" s="27" t="s">
        <v>1516</v>
      </c>
      <c r="D239" s="31" t="s">
        <v>1396</v>
      </c>
      <c r="E239" s="27" t="s">
        <v>105</v>
      </c>
      <c r="F239" s="27" t="s">
        <v>1996</v>
      </c>
      <c r="G239" s="27" t="s">
        <v>1997</v>
      </c>
      <c r="H239" s="9" t="s">
        <v>203</v>
      </c>
      <c r="I239" s="27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</row>
    <row r="240" spans="1:27">
      <c r="A240" s="27">
        <v>243</v>
      </c>
      <c r="B240" s="27">
        <v>15</v>
      </c>
      <c r="C240" s="27" t="s">
        <v>1516</v>
      </c>
      <c r="D240" s="32" t="s">
        <v>1998</v>
      </c>
      <c r="E240" s="27" t="s">
        <v>23</v>
      </c>
      <c r="F240" s="27" t="s">
        <v>1999</v>
      </c>
      <c r="G240" s="27" t="s">
        <v>2000</v>
      </c>
      <c r="H240" s="9" t="s">
        <v>7</v>
      </c>
      <c r="I240" s="27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</row>
    <row r="241" spans="1:27">
      <c r="A241" s="27">
        <v>244</v>
      </c>
      <c r="B241" s="27">
        <v>9</v>
      </c>
      <c r="C241" s="27" t="s">
        <v>1802</v>
      </c>
      <c r="D241" s="31" t="s">
        <v>1399</v>
      </c>
      <c r="E241" s="27" t="s">
        <v>12</v>
      </c>
      <c r="F241" s="27" t="s">
        <v>2001</v>
      </c>
      <c r="G241" s="27" t="s">
        <v>2002</v>
      </c>
      <c r="H241" s="9" t="s">
        <v>150</v>
      </c>
      <c r="I241" s="27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</row>
    <row r="242" spans="1:27">
      <c r="A242" s="27">
        <v>245</v>
      </c>
      <c r="B242" s="27">
        <v>16</v>
      </c>
      <c r="C242" s="27" t="s">
        <v>1459</v>
      </c>
      <c r="D242" s="31" t="s">
        <v>1398</v>
      </c>
      <c r="E242" s="27" t="s">
        <v>23</v>
      </c>
      <c r="F242" s="27" t="s">
        <v>2003</v>
      </c>
      <c r="G242" s="27" t="s">
        <v>2004</v>
      </c>
      <c r="H242" s="9" t="s">
        <v>48</v>
      </c>
      <c r="I242" s="27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</row>
    <row r="243" spans="1:27">
      <c r="A243" s="27">
        <v>246</v>
      </c>
      <c r="B243" s="27">
        <v>7</v>
      </c>
      <c r="C243" s="27" t="s">
        <v>1439</v>
      </c>
      <c r="D243" s="31" t="s">
        <v>1402</v>
      </c>
      <c r="E243" s="27" t="s">
        <v>54</v>
      </c>
      <c r="F243" s="27" t="s">
        <v>2005</v>
      </c>
      <c r="G243" s="27" t="s">
        <v>2006</v>
      </c>
      <c r="H243" s="9" t="s">
        <v>21</v>
      </c>
      <c r="I243" s="27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</row>
    <row r="244" spans="1:27">
      <c r="A244" s="27">
        <v>247</v>
      </c>
      <c r="B244" s="27">
        <v>12</v>
      </c>
      <c r="C244" s="27" t="s">
        <v>1446</v>
      </c>
      <c r="D244" s="31" t="s">
        <v>1401</v>
      </c>
      <c r="E244" s="27" t="s">
        <v>105</v>
      </c>
      <c r="F244" s="27" t="s">
        <v>2007</v>
      </c>
      <c r="G244" s="27" t="s">
        <v>2008</v>
      </c>
      <c r="H244" s="9" t="s">
        <v>107</v>
      </c>
      <c r="I244" s="27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</row>
    <row r="245" spans="1:27">
      <c r="A245" s="27">
        <v>248</v>
      </c>
      <c r="B245" s="27">
        <v>9</v>
      </c>
      <c r="C245" s="27" t="s">
        <v>1802</v>
      </c>
      <c r="D245" s="31" t="s">
        <v>1400</v>
      </c>
      <c r="E245" s="27" t="s">
        <v>451</v>
      </c>
      <c r="F245" s="27" t="s">
        <v>2009</v>
      </c>
      <c r="G245" s="27" t="s">
        <v>2010</v>
      </c>
      <c r="H245" s="9" t="s">
        <v>87</v>
      </c>
      <c r="I245" s="27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</row>
    <row r="246" spans="1:27">
      <c r="A246" s="27">
        <v>249</v>
      </c>
      <c r="B246" s="27">
        <v>15</v>
      </c>
      <c r="C246" s="27" t="s">
        <v>1516</v>
      </c>
      <c r="D246" s="31" t="s">
        <v>2011</v>
      </c>
      <c r="E246" s="27" t="s">
        <v>12</v>
      </c>
      <c r="F246" s="27" t="s">
        <v>2012</v>
      </c>
      <c r="G246" s="27" t="s">
        <v>2013</v>
      </c>
      <c r="H246" s="9" t="s">
        <v>87</v>
      </c>
      <c r="I246" s="27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</row>
    <row r="247" spans="1:27">
      <c r="A247" s="27">
        <v>250</v>
      </c>
      <c r="B247" s="27">
        <v>15</v>
      </c>
      <c r="C247" s="27" t="s">
        <v>1516</v>
      </c>
      <c r="D247" s="31" t="s">
        <v>2014</v>
      </c>
      <c r="E247" s="27" t="s">
        <v>12</v>
      </c>
      <c r="F247" s="27" t="s">
        <v>2015</v>
      </c>
      <c r="G247" s="27" t="s">
        <v>2016</v>
      </c>
      <c r="H247" s="9" t="s">
        <v>150</v>
      </c>
      <c r="I247" s="27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</row>
    <row r="248" spans="1:27">
      <c r="A248" s="27">
        <v>251</v>
      </c>
      <c r="B248" s="27">
        <v>13</v>
      </c>
      <c r="C248" s="27" t="s">
        <v>1468</v>
      </c>
      <c r="D248" s="31" t="s">
        <v>2017</v>
      </c>
      <c r="E248" s="27" t="s">
        <v>12</v>
      </c>
      <c r="F248" s="27" t="s">
        <v>2018</v>
      </c>
      <c r="G248" s="27" t="s">
        <v>2019</v>
      </c>
      <c r="H248" s="9" t="s">
        <v>87</v>
      </c>
      <c r="I248" s="27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</row>
    <row r="249" spans="1:27">
      <c r="A249" s="27">
        <v>252</v>
      </c>
      <c r="B249" s="27">
        <v>17</v>
      </c>
      <c r="C249" s="27" t="s">
        <v>1500</v>
      </c>
      <c r="D249" s="31" t="s">
        <v>1397</v>
      </c>
      <c r="E249" s="27" t="s">
        <v>12</v>
      </c>
      <c r="F249" s="27" t="s">
        <v>2020</v>
      </c>
      <c r="G249" s="27" t="s">
        <v>2021</v>
      </c>
      <c r="H249" s="9" t="s">
        <v>87</v>
      </c>
      <c r="I249" s="27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</row>
    <row r="250" spans="1:27">
      <c r="A250" s="27">
        <v>254</v>
      </c>
      <c r="B250" s="27">
        <v>13</v>
      </c>
      <c r="C250" s="27" t="s">
        <v>1468</v>
      </c>
      <c r="D250" s="31" t="s">
        <v>2022</v>
      </c>
      <c r="E250" s="27" t="s">
        <v>23</v>
      </c>
      <c r="F250" s="27" t="s">
        <v>2023</v>
      </c>
      <c r="G250" s="27" t="s">
        <v>2024</v>
      </c>
      <c r="H250" s="9" t="s">
        <v>48</v>
      </c>
      <c r="I250" s="27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</row>
    <row r="251" spans="1:27">
      <c r="A251" s="27">
        <v>255</v>
      </c>
      <c r="B251" s="27">
        <v>10</v>
      </c>
      <c r="C251" s="27" t="s">
        <v>1485</v>
      </c>
      <c r="D251" s="31" t="s">
        <v>2025</v>
      </c>
      <c r="E251" s="27" t="s">
        <v>23</v>
      </c>
      <c r="F251" s="27" t="s">
        <v>2026</v>
      </c>
      <c r="G251" s="27" t="s">
        <v>2027</v>
      </c>
      <c r="H251" s="9" t="s">
        <v>48</v>
      </c>
      <c r="I251" s="27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</row>
    <row r="252" spans="1:27">
      <c r="A252" s="27">
        <v>256</v>
      </c>
      <c r="B252" s="27">
        <v>17</v>
      </c>
      <c r="C252" s="27" t="s">
        <v>1500</v>
      </c>
      <c r="D252" s="31" t="s">
        <v>2028</v>
      </c>
      <c r="E252" s="27" t="s">
        <v>12</v>
      </c>
      <c r="F252" s="27" t="s">
        <v>2029</v>
      </c>
      <c r="G252" s="27" t="s">
        <v>2030</v>
      </c>
      <c r="H252" s="9" t="s">
        <v>34</v>
      </c>
      <c r="I252" s="27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</row>
    <row r="253" spans="1:27">
      <c r="A253" s="27">
        <v>257</v>
      </c>
      <c r="B253" s="27">
        <v>14</v>
      </c>
      <c r="C253" s="27" t="s">
        <v>1455</v>
      </c>
      <c r="D253" s="31" t="s">
        <v>1403</v>
      </c>
      <c r="E253" s="27" t="s">
        <v>23</v>
      </c>
      <c r="F253" s="27" t="s">
        <v>2031</v>
      </c>
      <c r="G253" s="27" t="s">
        <v>2032</v>
      </c>
      <c r="H253" s="9" t="s">
        <v>7</v>
      </c>
      <c r="I253" s="27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</row>
    <row r="254" spans="1:27">
      <c r="A254" s="27">
        <v>258</v>
      </c>
      <c r="B254" s="27">
        <v>13</v>
      </c>
      <c r="C254" s="27" t="s">
        <v>1468</v>
      </c>
      <c r="D254" s="31" t="s">
        <v>967</v>
      </c>
      <c r="E254" s="27" t="s">
        <v>23</v>
      </c>
      <c r="F254" s="27" t="s">
        <v>968</v>
      </c>
      <c r="G254" s="27" t="s">
        <v>2033</v>
      </c>
      <c r="H254" s="9" t="s">
        <v>48</v>
      </c>
      <c r="I254" s="27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</row>
    <row r="255" spans="1:27">
      <c r="A255" s="27">
        <v>260</v>
      </c>
      <c r="B255" s="27">
        <v>17</v>
      </c>
      <c r="C255" s="27" t="s">
        <v>1500</v>
      </c>
      <c r="D255" s="31" t="s">
        <v>2034</v>
      </c>
      <c r="E255" s="27" t="s">
        <v>23</v>
      </c>
      <c r="F255" s="27" t="s">
        <v>2035</v>
      </c>
      <c r="G255" s="27" t="s">
        <v>2036</v>
      </c>
      <c r="H255" s="9" t="s">
        <v>48</v>
      </c>
      <c r="I255" s="27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</row>
    <row r="256" spans="1:27">
      <c r="A256" s="27">
        <v>261</v>
      </c>
      <c r="B256" s="27">
        <v>6</v>
      </c>
      <c r="C256" s="27" t="s">
        <v>1443</v>
      </c>
      <c r="D256" s="31" t="s">
        <v>2037</v>
      </c>
      <c r="E256" s="27" t="s">
        <v>23</v>
      </c>
      <c r="F256" s="27" t="s">
        <v>2038</v>
      </c>
      <c r="G256" s="27" t="s">
        <v>2039</v>
      </c>
      <c r="H256" s="9" t="s">
        <v>21</v>
      </c>
      <c r="I256" s="27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</row>
    <row r="257" spans="1:27">
      <c r="A257" s="27">
        <v>262</v>
      </c>
      <c r="B257" s="27">
        <v>4</v>
      </c>
      <c r="C257" s="27" t="s">
        <v>1495</v>
      </c>
      <c r="D257" s="27" t="s">
        <v>2040</v>
      </c>
      <c r="E257" s="27" t="s">
        <v>23</v>
      </c>
      <c r="F257" s="27" t="s">
        <v>2041</v>
      </c>
      <c r="G257" s="27" t="s">
        <v>2042</v>
      </c>
      <c r="H257" s="9" t="s">
        <v>48</v>
      </c>
      <c r="I257" s="27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</row>
    <row r="258" spans="1:27">
      <c r="A258" s="27">
        <v>263</v>
      </c>
      <c r="B258" s="27">
        <v>15</v>
      </c>
      <c r="C258" s="27" t="s">
        <v>1516</v>
      </c>
      <c r="D258" s="27" t="s">
        <v>2043</v>
      </c>
      <c r="E258" s="27" t="s">
        <v>23</v>
      </c>
      <c r="F258" s="27" t="s">
        <v>2044</v>
      </c>
      <c r="G258" s="27" t="s">
        <v>2045</v>
      </c>
      <c r="H258" s="9" t="s">
        <v>87</v>
      </c>
      <c r="I258" s="27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</row>
    <row r="259" spans="1:27">
      <c r="A259" s="27">
        <v>264</v>
      </c>
      <c r="B259" s="27">
        <v>2</v>
      </c>
      <c r="C259" s="27" t="s">
        <v>1511</v>
      </c>
      <c r="D259" s="27" t="s">
        <v>2046</v>
      </c>
      <c r="E259" s="27" t="s">
        <v>74</v>
      </c>
      <c r="F259" s="27" t="s">
        <v>2047</v>
      </c>
      <c r="G259" s="27" t="s">
        <v>2048</v>
      </c>
      <c r="H259" s="9" t="s">
        <v>30</v>
      </c>
      <c r="I259" s="27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</row>
    <row r="260" spans="1:27">
      <c r="A260" s="27">
        <v>265</v>
      </c>
      <c r="B260" s="27">
        <v>4</v>
      </c>
      <c r="C260" s="27" t="s">
        <v>1495</v>
      </c>
      <c r="D260" s="27" t="s">
        <v>1404</v>
      </c>
      <c r="E260" s="27" t="s">
        <v>12</v>
      </c>
      <c r="F260" s="27" t="s">
        <v>2049</v>
      </c>
      <c r="G260" s="27" t="s">
        <v>2050</v>
      </c>
      <c r="H260" s="9" t="s">
        <v>87</v>
      </c>
      <c r="I260" s="27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</row>
    <row r="261" spans="1:27">
      <c r="A261" s="27">
        <v>266</v>
      </c>
      <c r="B261" s="27">
        <v>7</v>
      </c>
      <c r="C261" s="27" t="s">
        <v>1439</v>
      </c>
      <c r="D261" s="27" t="s">
        <v>2051</v>
      </c>
      <c r="E261" s="27" t="s">
        <v>253</v>
      </c>
      <c r="F261" s="27" t="s">
        <v>2052</v>
      </c>
      <c r="G261" s="27" t="s">
        <v>2053</v>
      </c>
      <c r="H261" s="9" t="s">
        <v>30</v>
      </c>
      <c r="I261" s="27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</row>
    <row r="262" spans="1:27">
      <c r="A262" s="27">
        <v>267</v>
      </c>
      <c r="B262" s="27">
        <v>1</v>
      </c>
      <c r="C262" s="27" t="s">
        <v>1453</v>
      </c>
      <c r="D262" s="27" t="s">
        <v>2054</v>
      </c>
      <c r="E262" s="27" t="s">
        <v>54</v>
      </c>
      <c r="F262" s="27" t="s">
        <v>2055</v>
      </c>
      <c r="G262" s="27" t="s">
        <v>2056</v>
      </c>
      <c r="H262" s="9" t="s">
        <v>30</v>
      </c>
      <c r="I262" s="27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</row>
    <row r="263" spans="1:27">
      <c r="A263" s="27">
        <v>268</v>
      </c>
      <c r="B263" s="27">
        <v>14</v>
      </c>
      <c r="C263" s="27" t="s">
        <v>1455</v>
      </c>
      <c r="D263" s="27" t="s">
        <v>1405</v>
      </c>
      <c r="E263" s="27" t="s">
        <v>23</v>
      </c>
      <c r="F263" s="27" t="s">
        <v>2057</v>
      </c>
      <c r="G263" s="27" t="s">
        <v>2058</v>
      </c>
      <c r="H263" s="9" t="s">
        <v>60</v>
      </c>
      <c r="I263" s="27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</row>
    <row r="264" spans="1:27">
      <c r="A264" s="27">
        <v>269</v>
      </c>
      <c r="B264" s="27">
        <v>14</v>
      </c>
      <c r="C264" s="27" t="s">
        <v>1455</v>
      </c>
      <c r="D264" s="27" t="s">
        <v>2059</v>
      </c>
      <c r="E264" s="27" t="s">
        <v>23</v>
      </c>
      <c r="F264" s="27" t="s">
        <v>2060</v>
      </c>
      <c r="G264" s="27" t="s">
        <v>2061</v>
      </c>
      <c r="H264" s="9" t="s">
        <v>7</v>
      </c>
      <c r="I264" s="27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</row>
    <row r="265" spans="1:27">
      <c r="A265" s="27">
        <v>270</v>
      </c>
      <c r="B265" s="27">
        <v>10</v>
      </c>
      <c r="C265" s="27" t="s">
        <v>1485</v>
      </c>
      <c r="D265" s="27" t="s">
        <v>2062</v>
      </c>
      <c r="E265" s="27" t="s">
        <v>1525</v>
      </c>
      <c r="F265" s="27" t="s">
        <v>2063</v>
      </c>
      <c r="G265" s="27" t="s">
        <v>2064</v>
      </c>
      <c r="H265" s="9" t="s">
        <v>150</v>
      </c>
      <c r="I265" s="27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</row>
    <row r="266" spans="1:27">
      <c r="A266" s="27">
        <v>271</v>
      </c>
      <c r="B266" s="27">
        <v>18</v>
      </c>
      <c r="C266" s="27" t="s">
        <v>1435</v>
      </c>
      <c r="D266" s="27" t="s">
        <v>2065</v>
      </c>
      <c r="E266" s="27" t="s">
        <v>23</v>
      </c>
      <c r="F266" s="27" t="s">
        <v>2066</v>
      </c>
      <c r="G266" s="27" t="s">
        <v>2067</v>
      </c>
      <c r="H266" s="9" t="s">
        <v>48</v>
      </c>
      <c r="I266" s="27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</row>
    <row r="267" spans="1:27">
      <c r="A267" s="27">
        <v>272</v>
      </c>
      <c r="B267" s="27">
        <v>9</v>
      </c>
      <c r="C267" s="27" t="s">
        <v>1802</v>
      </c>
      <c r="D267" s="27" t="s">
        <v>2068</v>
      </c>
      <c r="E267" s="27" t="s">
        <v>23</v>
      </c>
      <c r="F267" s="27" t="s">
        <v>2069</v>
      </c>
      <c r="G267" s="27" t="s">
        <v>2070</v>
      </c>
      <c r="H267" s="9" t="s">
        <v>7</v>
      </c>
      <c r="I267" s="27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</row>
    <row r="268" spans="1:27">
      <c r="A268" s="27">
        <v>273</v>
      </c>
      <c r="B268" s="27">
        <v>13</v>
      </c>
      <c r="C268" s="27" t="s">
        <v>1468</v>
      </c>
      <c r="D268" s="27" t="s">
        <v>1406</v>
      </c>
      <c r="E268" s="27" t="s">
        <v>23</v>
      </c>
      <c r="F268" s="27" t="s">
        <v>2071</v>
      </c>
      <c r="G268" s="27" t="s">
        <v>2072</v>
      </c>
      <c r="H268" s="9" t="s">
        <v>90</v>
      </c>
      <c r="I268" s="27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</row>
    <row r="269" spans="1:27">
      <c r="A269" s="27">
        <v>274</v>
      </c>
      <c r="B269" s="27">
        <v>10</v>
      </c>
      <c r="C269" s="27" t="s">
        <v>1485</v>
      </c>
      <c r="D269" s="27" t="s">
        <v>2073</v>
      </c>
      <c r="E269" s="27" t="s">
        <v>1525</v>
      </c>
      <c r="F269" s="27" t="s">
        <v>380</v>
      </c>
      <c r="G269" s="27" t="s">
        <v>2074</v>
      </c>
      <c r="H269" s="9" t="s">
        <v>107</v>
      </c>
      <c r="I269" s="27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</row>
    <row r="270" spans="1:27">
      <c r="A270" s="27">
        <v>275</v>
      </c>
      <c r="B270" s="27">
        <v>5</v>
      </c>
      <c r="C270" s="27" t="s">
        <v>1487</v>
      </c>
      <c r="D270" s="27" t="s">
        <v>1407</v>
      </c>
      <c r="E270" s="27" t="s">
        <v>105</v>
      </c>
      <c r="F270" s="27" t="s">
        <v>2075</v>
      </c>
      <c r="G270" s="27" t="s">
        <v>2076</v>
      </c>
      <c r="H270" s="9" t="s">
        <v>15</v>
      </c>
      <c r="I270" s="27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</row>
    <row r="271" spans="1:27">
      <c r="A271" s="27">
        <v>276</v>
      </c>
      <c r="B271" s="27">
        <v>5</v>
      </c>
      <c r="C271" s="27" t="s">
        <v>1487</v>
      </c>
      <c r="D271" s="27" t="s">
        <v>1408</v>
      </c>
      <c r="E271" s="27" t="s">
        <v>105</v>
      </c>
      <c r="F271" s="27" t="s">
        <v>2077</v>
      </c>
      <c r="G271" s="27" t="s">
        <v>2078</v>
      </c>
      <c r="H271" s="9" t="s">
        <v>107</v>
      </c>
      <c r="I271" s="27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</row>
    <row r="272" spans="1:27">
      <c r="A272" s="27">
        <v>277</v>
      </c>
      <c r="B272" s="27">
        <v>17</v>
      </c>
      <c r="C272" s="27" t="s">
        <v>1500</v>
      </c>
      <c r="D272" s="27" t="s">
        <v>1409</v>
      </c>
      <c r="E272" s="27" t="s">
        <v>23</v>
      </c>
      <c r="F272" s="27" t="s">
        <v>2079</v>
      </c>
      <c r="G272" s="27" t="s">
        <v>2080</v>
      </c>
      <c r="H272" s="9" t="s">
        <v>150</v>
      </c>
      <c r="I272" s="27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</row>
    <row r="273" spans="1:27">
      <c r="A273" s="27">
        <v>278</v>
      </c>
      <c r="B273" s="27">
        <v>1</v>
      </c>
      <c r="C273" s="27" t="s">
        <v>1453</v>
      </c>
      <c r="D273" s="27" t="s">
        <v>1411</v>
      </c>
      <c r="E273" s="27" t="s">
        <v>105</v>
      </c>
      <c r="F273" s="27" t="s">
        <v>2081</v>
      </c>
      <c r="G273" s="27" t="s">
        <v>2082</v>
      </c>
      <c r="H273" s="30" t="s">
        <v>64</v>
      </c>
      <c r="I273" s="27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</row>
    <row r="274" spans="1:27">
      <c r="A274" s="27">
        <v>279</v>
      </c>
      <c r="B274" s="27">
        <v>10</v>
      </c>
      <c r="C274" s="27" t="s">
        <v>1485</v>
      </c>
      <c r="D274" s="27" t="s">
        <v>1410</v>
      </c>
      <c r="E274" s="27" t="s">
        <v>23</v>
      </c>
      <c r="F274" s="27" t="s">
        <v>2083</v>
      </c>
      <c r="G274" s="27" t="s">
        <v>2084</v>
      </c>
      <c r="H274" s="9" t="s">
        <v>34</v>
      </c>
      <c r="I274" s="27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</row>
    <row r="275" spans="1:27">
      <c r="A275" s="27">
        <v>280</v>
      </c>
      <c r="B275" s="27">
        <v>4</v>
      </c>
      <c r="C275" s="27" t="s">
        <v>1495</v>
      </c>
      <c r="D275" s="27" t="s">
        <v>2085</v>
      </c>
      <c r="E275" s="27" t="s">
        <v>23</v>
      </c>
      <c r="F275" s="27" t="s">
        <v>2086</v>
      </c>
      <c r="G275" s="27" t="s">
        <v>2087</v>
      </c>
      <c r="H275" s="9" t="s">
        <v>150</v>
      </c>
      <c r="I275" s="27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</row>
    <row r="276" spans="1:27">
      <c r="A276" s="27">
        <v>281</v>
      </c>
      <c r="B276" s="27">
        <v>10</v>
      </c>
      <c r="C276" s="27" t="s">
        <v>1485</v>
      </c>
      <c r="D276" s="27" t="s">
        <v>1412</v>
      </c>
      <c r="E276" s="27" t="s">
        <v>1862</v>
      </c>
      <c r="F276" s="27" t="s">
        <v>2088</v>
      </c>
      <c r="G276" s="27" t="s">
        <v>2089</v>
      </c>
      <c r="H276" s="9" t="s">
        <v>87</v>
      </c>
      <c r="I276" s="27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</row>
    <row r="277" spans="1:27">
      <c r="A277" s="27">
        <v>282</v>
      </c>
      <c r="B277" s="27">
        <v>14</v>
      </c>
      <c r="C277" s="27" t="s">
        <v>1455</v>
      </c>
      <c r="D277" s="27" t="s">
        <v>2090</v>
      </c>
      <c r="E277" s="27" t="s">
        <v>23</v>
      </c>
      <c r="F277" s="27" t="s">
        <v>2091</v>
      </c>
      <c r="G277" s="27" t="s">
        <v>2092</v>
      </c>
      <c r="H277" s="9" t="s">
        <v>7</v>
      </c>
      <c r="I277" s="27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</row>
    <row r="278" spans="1:27">
      <c r="A278" s="27">
        <v>283</v>
      </c>
      <c r="B278" s="27">
        <v>5</v>
      </c>
      <c r="C278" s="27" t="s">
        <v>1487</v>
      </c>
      <c r="D278" s="27" t="s">
        <v>1413</v>
      </c>
      <c r="E278" s="27" t="s">
        <v>12</v>
      </c>
      <c r="F278" s="27" t="s">
        <v>2093</v>
      </c>
      <c r="G278" s="27" t="s">
        <v>2094</v>
      </c>
      <c r="H278" s="9" t="s">
        <v>87</v>
      </c>
      <c r="I278" s="27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</row>
    <row r="279" spans="1:27">
      <c r="A279" s="27">
        <v>284</v>
      </c>
      <c r="B279" s="27">
        <v>11</v>
      </c>
      <c r="C279" s="27" t="s">
        <v>1450</v>
      </c>
      <c r="D279" s="27" t="s">
        <v>2095</v>
      </c>
      <c r="E279" s="27" t="s">
        <v>1528</v>
      </c>
      <c r="F279" s="27" t="s">
        <v>2096</v>
      </c>
      <c r="G279" s="27" t="s">
        <v>2097</v>
      </c>
      <c r="H279" s="9" t="s">
        <v>30</v>
      </c>
      <c r="I279" s="27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</row>
    <row r="280" spans="1:27">
      <c r="A280" s="27">
        <v>285</v>
      </c>
      <c r="B280" s="27">
        <v>5</v>
      </c>
      <c r="C280" s="27" t="s">
        <v>1487</v>
      </c>
      <c r="D280" s="27" t="s">
        <v>2098</v>
      </c>
      <c r="E280" s="27" t="s">
        <v>12</v>
      </c>
      <c r="F280" s="27" t="s">
        <v>2099</v>
      </c>
      <c r="G280" s="27" t="s">
        <v>2100</v>
      </c>
      <c r="H280" s="9" t="s">
        <v>48</v>
      </c>
      <c r="I280" s="27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</row>
    <row r="281" spans="1:27">
      <c r="A281" s="27">
        <v>286</v>
      </c>
      <c r="B281" s="27">
        <v>13</v>
      </c>
      <c r="C281" s="27" t="s">
        <v>1468</v>
      </c>
      <c r="D281" s="27" t="s">
        <v>2101</v>
      </c>
      <c r="E281" s="27" t="s">
        <v>23</v>
      </c>
      <c r="F281" s="27" t="s">
        <v>2102</v>
      </c>
      <c r="G281" s="27" t="s">
        <v>2103</v>
      </c>
      <c r="H281" s="9" t="s">
        <v>87</v>
      </c>
      <c r="I281" s="27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</row>
    <row r="282" spans="1:27">
      <c r="A282" s="27">
        <v>287</v>
      </c>
      <c r="B282" s="27">
        <v>8</v>
      </c>
      <c r="C282" s="27" t="s">
        <v>1494</v>
      </c>
      <c r="D282" s="27" t="s">
        <v>2104</v>
      </c>
      <c r="E282" s="27" t="s">
        <v>105</v>
      </c>
      <c r="F282" s="27" t="s">
        <v>2105</v>
      </c>
      <c r="G282" s="27" t="s">
        <v>2106</v>
      </c>
      <c r="H282" s="9" t="s">
        <v>107</v>
      </c>
      <c r="I282" s="27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</row>
    <row r="283" spans="1:27">
      <c r="A283" s="27">
        <v>288</v>
      </c>
      <c r="B283" s="27">
        <v>9</v>
      </c>
      <c r="C283" s="27" t="s">
        <v>1802</v>
      </c>
      <c r="D283" s="27" t="s">
        <v>2107</v>
      </c>
      <c r="E283" s="27" t="s">
        <v>23</v>
      </c>
      <c r="F283" s="27" t="s">
        <v>2108</v>
      </c>
      <c r="G283" s="27" t="s">
        <v>2109</v>
      </c>
      <c r="H283" s="9" t="s">
        <v>48</v>
      </c>
      <c r="I283" s="27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</row>
    <row r="284" spans="1:27">
      <c r="A284" s="27">
        <v>289</v>
      </c>
      <c r="B284" s="27">
        <v>15</v>
      </c>
      <c r="C284" s="27" t="s">
        <v>1516</v>
      </c>
      <c r="D284" s="27" t="s">
        <v>1414</v>
      </c>
      <c r="E284" s="27" t="s">
        <v>23</v>
      </c>
      <c r="F284" s="27" t="s">
        <v>2110</v>
      </c>
      <c r="G284" s="27" t="s">
        <v>2111</v>
      </c>
      <c r="H284" s="9" t="s">
        <v>34</v>
      </c>
      <c r="I284" s="27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</row>
    <row r="285" spans="1:27">
      <c r="A285" s="27">
        <v>290</v>
      </c>
      <c r="B285" s="27">
        <v>16</v>
      </c>
      <c r="C285" s="27" t="s">
        <v>1459</v>
      </c>
      <c r="D285" s="27" t="s">
        <v>2112</v>
      </c>
      <c r="E285" s="27" t="s">
        <v>74</v>
      </c>
      <c r="F285" s="27" t="s">
        <v>2113</v>
      </c>
      <c r="G285" s="27" t="s">
        <v>2114</v>
      </c>
      <c r="H285" s="9" t="s">
        <v>30</v>
      </c>
      <c r="I285" s="27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</row>
    <row r="286" spans="1:27">
      <c r="A286" s="27">
        <v>291</v>
      </c>
      <c r="B286" s="27">
        <v>8</v>
      </c>
      <c r="C286" s="27" t="s">
        <v>1494</v>
      </c>
      <c r="D286" s="27" t="s">
        <v>1415</v>
      </c>
      <c r="E286" s="27" t="s">
        <v>109</v>
      </c>
      <c r="F286" s="27" t="s">
        <v>2115</v>
      </c>
      <c r="G286" s="27" t="s">
        <v>2116</v>
      </c>
      <c r="H286" s="9" t="s">
        <v>30</v>
      </c>
      <c r="I286" s="27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</row>
    <row r="287" spans="1:27">
      <c r="A287" s="27">
        <v>292</v>
      </c>
      <c r="B287" s="27">
        <v>16</v>
      </c>
      <c r="C287" s="27" t="s">
        <v>1459</v>
      </c>
      <c r="D287" s="27" t="s">
        <v>2117</v>
      </c>
      <c r="E287" s="27" t="s">
        <v>105</v>
      </c>
      <c r="F287" s="27" t="s">
        <v>2118</v>
      </c>
      <c r="G287" s="27" t="s">
        <v>2119</v>
      </c>
      <c r="H287" s="9" t="s">
        <v>107</v>
      </c>
      <c r="I287" s="27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</row>
    <row r="288" spans="1:27">
      <c r="A288" s="27">
        <v>293</v>
      </c>
      <c r="B288" s="27">
        <v>4</v>
      </c>
      <c r="C288" s="27" t="s">
        <v>1495</v>
      </c>
      <c r="D288" s="27" t="s">
        <v>1416</v>
      </c>
      <c r="E288" s="27" t="s">
        <v>12</v>
      </c>
      <c r="F288" s="27" t="s">
        <v>2120</v>
      </c>
      <c r="G288" s="27" t="s">
        <v>2121</v>
      </c>
      <c r="H288" s="9" t="s">
        <v>48</v>
      </c>
      <c r="I288" s="27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</row>
    <row r="289" spans="1:27">
      <c r="A289" s="27">
        <v>294</v>
      </c>
      <c r="B289" s="27">
        <v>18</v>
      </c>
      <c r="C289" s="27" t="s">
        <v>1435</v>
      </c>
      <c r="D289" s="27" t="s">
        <v>2122</v>
      </c>
      <c r="E289" s="27" t="s">
        <v>2123</v>
      </c>
      <c r="F289" s="27" t="s">
        <v>2124</v>
      </c>
      <c r="G289" s="27" t="s">
        <v>2125</v>
      </c>
      <c r="H289" s="9" t="s">
        <v>30</v>
      </c>
      <c r="I289" s="27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</row>
    <row r="290" spans="1:27">
      <c r="A290" s="27">
        <v>295</v>
      </c>
      <c r="B290" s="27">
        <v>4</v>
      </c>
      <c r="C290" s="27" t="s">
        <v>1495</v>
      </c>
      <c r="D290" s="27" t="s">
        <v>1417</v>
      </c>
      <c r="E290" s="27" t="s">
        <v>12</v>
      </c>
      <c r="F290" s="27" t="s">
        <v>2126</v>
      </c>
      <c r="G290" s="27" t="s">
        <v>2127</v>
      </c>
      <c r="H290" s="9" t="s">
        <v>87</v>
      </c>
      <c r="I290" s="27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</row>
    <row r="291" spans="1:27">
      <c r="A291" s="27">
        <v>296</v>
      </c>
      <c r="B291" s="27">
        <v>17</v>
      </c>
      <c r="C291" s="27" t="s">
        <v>1500</v>
      </c>
      <c r="D291" s="27" t="s">
        <v>2128</v>
      </c>
      <c r="E291" s="27" t="s">
        <v>23</v>
      </c>
      <c r="F291" s="27" t="s">
        <v>2129</v>
      </c>
      <c r="G291" s="27" t="s">
        <v>2130</v>
      </c>
      <c r="H291" s="9" t="s">
        <v>34</v>
      </c>
      <c r="I291" s="27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</row>
    <row r="292" spans="1:27">
      <c r="A292" s="27">
        <v>297</v>
      </c>
      <c r="B292" s="27">
        <v>10</v>
      </c>
      <c r="C292" s="27" t="s">
        <v>1485</v>
      </c>
      <c r="D292" s="27" t="s">
        <v>1418</v>
      </c>
      <c r="E292" s="27" t="s">
        <v>1525</v>
      </c>
      <c r="F292" s="27" t="s">
        <v>2131</v>
      </c>
      <c r="G292" s="27" t="s">
        <v>2132</v>
      </c>
      <c r="H292" s="9" t="s">
        <v>107</v>
      </c>
      <c r="I292" s="27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</row>
    <row r="293" spans="1:27">
      <c r="A293" s="27">
        <v>298</v>
      </c>
      <c r="B293" s="27">
        <v>11</v>
      </c>
      <c r="C293" s="27" t="s">
        <v>1450</v>
      </c>
      <c r="D293" s="27" t="s">
        <v>2133</v>
      </c>
      <c r="E293" s="27" t="s">
        <v>12</v>
      </c>
      <c r="F293" s="27" t="s">
        <v>2134</v>
      </c>
      <c r="G293" s="27" t="s">
        <v>2135</v>
      </c>
      <c r="H293" s="9" t="s">
        <v>34</v>
      </c>
      <c r="I293" s="27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</row>
    <row r="294" spans="1:27">
      <c r="A294" s="27">
        <v>299</v>
      </c>
      <c r="B294" s="27">
        <v>13</v>
      </c>
      <c r="C294" s="27" t="s">
        <v>1468</v>
      </c>
      <c r="D294" s="27" t="s">
        <v>1419</v>
      </c>
      <c r="E294" s="27" t="s">
        <v>12</v>
      </c>
      <c r="F294" s="27" t="s">
        <v>2136</v>
      </c>
      <c r="G294" s="27" t="s">
        <v>2137</v>
      </c>
      <c r="H294" s="9" t="s">
        <v>87</v>
      </c>
      <c r="I294" s="27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</row>
    <row r="295" spans="1:27">
      <c r="A295" s="27">
        <v>300</v>
      </c>
      <c r="B295" s="27">
        <v>12</v>
      </c>
      <c r="C295" s="27" t="s">
        <v>1446</v>
      </c>
      <c r="D295" s="27" t="s">
        <v>1420</v>
      </c>
      <c r="E295" s="27" t="s">
        <v>23</v>
      </c>
      <c r="F295" s="27" t="s">
        <v>2138</v>
      </c>
      <c r="G295" s="27" t="s">
        <v>2139</v>
      </c>
      <c r="H295" s="9" t="s">
        <v>34</v>
      </c>
      <c r="I295" s="27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</row>
    <row r="296" spans="1:27">
      <c r="A296" s="27"/>
      <c r="B296" s="27">
        <v>9</v>
      </c>
      <c r="C296" s="27" t="s">
        <v>1802</v>
      </c>
      <c r="D296" s="27" t="s">
        <v>1421</v>
      </c>
      <c r="E296" s="27" t="s">
        <v>23</v>
      </c>
      <c r="F296" s="27" t="s">
        <v>2140</v>
      </c>
      <c r="G296" s="27" t="s">
        <v>2141</v>
      </c>
      <c r="H296" s="9" t="s">
        <v>48</v>
      </c>
      <c r="I296" s="27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</row>
    <row r="297" spans="1:27">
      <c r="A297" s="27"/>
      <c r="B297" s="27">
        <v>16</v>
      </c>
      <c r="C297" s="27" t="s">
        <v>1459</v>
      </c>
      <c r="D297" s="27" t="s">
        <v>1422</v>
      </c>
      <c r="E297" s="27"/>
      <c r="F297" s="27" t="s">
        <v>2142</v>
      </c>
      <c r="G297" s="27" t="s">
        <v>2143</v>
      </c>
      <c r="H297" s="9" t="s">
        <v>107</v>
      </c>
      <c r="I297" s="27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</row>
    <row r="298" spans="1:27">
      <c r="A298" s="27"/>
      <c r="B298" s="27">
        <v>7</v>
      </c>
      <c r="C298" s="27" t="s">
        <v>1439</v>
      </c>
      <c r="D298" s="27" t="s">
        <v>2144</v>
      </c>
      <c r="E298" s="27" t="s">
        <v>23</v>
      </c>
      <c r="F298" s="27" t="s">
        <v>2145</v>
      </c>
      <c r="G298" s="27" t="s">
        <v>2146</v>
      </c>
      <c r="H298" s="9" t="s">
        <v>87</v>
      </c>
      <c r="I298" s="27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</row>
    <row r="299" spans="1:27">
      <c r="A299" s="27"/>
      <c r="B299" s="27">
        <v>14</v>
      </c>
      <c r="C299" s="27" t="s">
        <v>1455</v>
      </c>
      <c r="D299" s="27" t="s">
        <v>1423</v>
      </c>
      <c r="E299" s="27" t="s">
        <v>819</v>
      </c>
      <c r="F299" s="27" t="s">
        <v>2147</v>
      </c>
      <c r="G299" s="27" t="s">
        <v>2148</v>
      </c>
      <c r="H299" s="9" t="s">
        <v>30</v>
      </c>
      <c r="I299" s="27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</row>
    <row r="300" spans="1:27">
      <c r="A300" s="27"/>
      <c r="B300" s="27">
        <v>2</v>
      </c>
      <c r="C300" s="27" t="s">
        <v>1511</v>
      </c>
      <c r="D300" s="27" t="s">
        <v>1424</v>
      </c>
      <c r="E300" s="27" t="s">
        <v>105</v>
      </c>
      <c r="F300" s="27" t="s">
        <v>2149</v>
      </c>
      <c r="G300" s="27" t="s">
        <v>2150</v>
      </c>
      <c r="H300" s="9" t="s">
        <v>107</v>
      </c>
      <c r="I300" s="27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</row>
    <row r="301" spans="1:27">
      <c r="A301" s="27"/>
      <c r="B301" s="27">
        <v>16</v>
      </c>
      <c r="C301" s="27" t="s">
        <v>1459</v>
      </c>
      <c r="D301" s="27" t="s">
        <v>2151</v>
      </c>
      <c r="E301" s="27" t="s">
        <v>12</v>
      </c>
      <c r="F301" s="27" t="s">
        <v>2152</v>
      </c>
      <c r="G301" s="27" t="s">
        <v>2153</v>
      </c>
      <c r="H301" s="9" t="s">
        <v>150</v>
      </c>
      <c r="I301" s="27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</row>
    <row r="302" spans="1:27">
      <c r="A302" s="27"/>
      <c r="B302" s="27">
        <v>17</v>
      </c>
      <c r="C302" s="27" t="s">
        <v>1500</v>
      </c>
      <c r="D302" s="27" t="s">
        <v>1425</v>
      </c>
      <c r="E302" s="27" t="s">
        <v>12</v>
      </c>
      <c r="F302" s="27" t="s">
        <v>2154</v>
      </c>
      <c r="G302" s="27" t="s">
        <v>2155</v>
      </c>
      <c r="H302" s="9" t="s">
        <v>150</v>
      </c>
      <c r="I302" s="27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</row>
    <row r="303" spans="1:27">
      <c r="A303" s="27"/>
      <c r="B303" s="27">
        <v>10</v>
      </c>
      <c r="C303" s="27" t="s">
        <v>1485</v>
      </c>
      <c r="D303" s="27" t="s">
        <v>2156</v>
      </c>
      <c r="E303" s="27" t="s">
        <v>105</v>
      </c>
      <c r="F303" s="27" t="s">
        <v>2157</v>
      </c>
      <c r="G303" s="27" t="s">
        <v>2158</v>
      </c>
      <c r="H303" s="9" t="s">
        <v>107</v>
      </c>
      <c r="I303" s="27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</row>
    <row r="304" spans="1:27">
      <c r="A304" s="27"/>
      <c r="B304" s="27">
        <v>17</v>
      </c>
      <c r="C304" s="27" t="s">
        <v>1500</v>
      </c>
      <c r="D304" s="27" t="s">
        <v>2159</v>
      </c>
      <c r="E304" s="27" t="s">
        <v>105</v>
      </c>
      <c r="F304" s="27" t="s">
        <v>2160</v>
      </c>
      <c r="G304" s="27" t="s">
        <v>2161</v>
      </c>
      <c r="H304" s="9" t="s">
        <v>107</v>
      </c>
      <c r="I304" s="27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</row>
    <row r="305" spans="1:27">
      <c r="A305" s="27"/>
      <c r="B305" s="27">
        <v>6</v>
      </c>
      <c r="C305" s="27" t="s">
        <v>1443</v>
      </c>
      <c r="D305" s="27" t="s">
        <v>1426</v>
      </c>
      <c r="E305" s="27" t="s">
        <v>819</v>
      </c>
      <c r="F305" s="27" t="s">
        <v>2162</v>
      </c>
      <c r="G305" s="27" t="s">
        <v>2163</v>
      </c>
      <c r="H305" s="9" t="s">
        <v>30</v>
      </c>
      <c r="I305" s="27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</row>
    <row r="306" spans="1:27">
      <c r="A306" s="27"/>
      <c r="B306" s="27">
        <v>12</v>
      </c>
      <c r="C306" s="27" t="s">
        <v>1446</v>
      </c>
      <c r="D306" s="31" t="s">
        <v>2164</v>
      </c>
      <c r="E306" s="27" t="s">
        <v>23</v>
      </c>
      <c r="F306" s="27" t="s">
        <v>2165</v>
      </c>
      <c r="G306" s="27" t="s">
        <v>2166</v>
      </c>
      <c r="H306" s="9" t="s">
        <v>87</v>
      </c>
      <c r="I306" s="27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</row>
    <row r="307" spans="1:27">
      <c r="A307" s="27"/>
      <c r="B307" s="27">
        <v>6</v>
      </c>
      <c r="C307" s="27" t="s">
        <v>1443</v>
      </c>
      <c r="D307" s="31" t="s">
        <v>2167</v>
      </c>
      <c r="E307" s="27" t="s">
        <v>23</v>
      </c>
      <c r="F307" s="27" t="s">
        <v>2168</v>
      </c>
      <c r="G307" s="27" t="s">
        <v>2169</v>
      </c>
      <c r="H307" s="9" t="s">
        <v>87</v>
      </c>
      <c r="I307" s="27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</row>
    <row r="308" spans="1:27">
      <c r="A308" s="27"/>
      <c r="B308" s="27">
        <v>5</v>
      </c>
      <c r="C308" s="27" t="s">
        <v>1487</v>
      </c>
      <c r="D308" s="31" t="s">
        <v>2170</v>
      </c>
      <c r="E308" s="27" t="s">
        <v>23</v>
      </c>
      <c r="F308" s="27" t="s">
        <v>2171</v>
      </c>
      <c r="G308" s="27" t="s">
        <v>2172</v>
      </c>
      <c r="H308" s="9" t="s">
        <v>203</v>
      </c>
      <c r="I308" s="27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</row>
    <row r="309" spans="1:27">
      <c r="A309" s="27"/>
      <c r="B309" s="27">
        <v>2</v>
      </c>
      <c r="C309" s="27" t="s">
        <v>1511</v>
      </c>
      <c r="D309" s="31" t="s">
        <v>2173</v>
      </c>
      <c r="E309" s="27" t="s">
        <v>23</v>
      </c>
      <c r="F309" s="27" t="s">
        <v>2174</v>
      </c>
      <c r="G309" s="27" t="s">
        <v>2175</v>
      </c>
      <c r="H309" s="9" t="s">
        <v>87</v>
      </c>
      <c r="I309" s="27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</row>
    <row r="310" spans="1:27">
      <c r="A310" s="27"/>
      <c r="B310" s="27">
        <v>16</v>
      </c>
      <c r="C310" s="27" t="s">
        <v>1459</v>
      </c>
      <c r="D310" s="31" t="s">
        <v>1427</v>
      </c>
      <c r="E310" s="27" t="s">
        <v>23</v>
      </c>
      <c r="F310" s="27" t="s">
        <v>2176</v>
      </c>
      <c r="G310" s="27" t="s">
        <v>2177</v>
      </c>
      <c r="H310" s="9" t="s">
        <v>87</v>
      </c>
      <c r="I310" s="27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</row>
    <row r="311" spans="1:27">
      <c r="A311" s="27"/>
      <c r="B311" s="27">
        <v>1</v>
      </c>
      <c r="C311" s="27" t="s">
        <v>1453</v>
      </c>
      <c r="D311" s="31" t="s">
        <v>2178</v>
      </c>
      <c r="E311" s="27" t="s">
        <v>23</v>
      </c>
      <c r="F311" s="27" t="s">
        <v>2179</v>
      </c>
      <c r="G311" s="27" t="s">
        <v>2180</v>
      </c>
      <c r="H311" s="9" t="s">
        <v>34</v>
      </c>
      <c r="I311" s="27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</row>
    <row r="312" spans="1:27">
      <c r="A312" s="27"/>
      <c r="B312" s="27">
        <v>11</v>
      </c>
      <c r="C312" s="27" t="s">
        <v>1450</v>
      </c>
      <c r="D312" s="31" t="s">
        <v>1428</v>
      </c>
      <c r="E312" s="27" t="s">
        <v>23</v>
      </c>
      <c r="F312" s="27" t="s">
        <v>2181</v>
      </c>
      <c r="G312" s="27" t="s">
        <v>2182</v>
      </c>
      <c r="H312" s="9" t="s">
        <v>21</v>
      </c>
      <c r="I312" s="27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</row>
    <row r="313" spans="1:27">
      <c r="A313" s="27"/>
      <c r="B313" s="27">
        <v>17</v>
      </c>
      <c r="C313" s="27" t="s">
        <v>1500</v>
      </c>
      <c r="D313" s="31" t="s">
        <v>2183</v>
      </c>
      <c r="E313" s="27" t="s">
        <v>12</v>
      </c>
      <c r="F313" s="27" t="s">
        <v>2184</v>
      </c>
      <c r="G313" s="27" t="s">
        <v>2185</v>
      </c>
      <c r="H313" s="9" t="s">
        <v>15</v>
      </c>
      <c r="I313" s="27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</row>
    <row r="314" spans="1:27">
      <c r="A314" s="27"/>
      <c r="B314" s="27">
        <v>7</v>
      </c>
      <c r="C314" s="27" t="s">
        <v>1439</v>
      </c>
      <c r="D314" s="31" t="s">
        <v>2186</v>
      </c>
      <c r="E314" s="27" t="s">
        <v>253</v>
      </c>
      <c r="F314" s="27" t="s">
        <v>2187</v>
      </c>
      <c r="G314" s="27" t="s">
        <v>2188</v>
      </c>
      <c r="H314" s="9" t="s">
        <v>30</v>
      </c>
      <c r="I314" s="27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</row>
    <row r="315" spans="1:27">
      <c r="A315" s="27"/>
      <c r="B315" s="27">
        <v>11</v>
      </c>
      <c r="C315" s="27" t="s">
        <v>1450</v>
      </c>
      <c r="D315" s="31" t="s">
        <v>1429</v>
      </c>
      <c r="E315" s="27" t="s">
        <v>23</v>
      </c>
      <c r="F315" s="27" t="s">
        <v>2189</v>
      </c>
      <c r="G315" s="27" t="s">
        <v>2190</v>
      </c>
      <c r="H315" s="9" t="s">
        <v>60</v>
      </c>
      <c r="I315" s="27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</row>
    <row r="316" spans="1:27">
      <c r="A316" s="27"/>
      <c r="B316" s="27">
        <v>9</v>
      </c>
      <c r="C316" s="27" t="s">
        <v>1802</v>
      </c>
      <c r="D316" s="31" t="s">
        <v>2191</v>
      </c>
      <c r="E316" s="27" t="s">
        <v>23</v>
      </c>
      <c r="F316" s="27" t="s">
        <v>2192</v>
      </c>
      <c r="G316" s="27" t="s">
        <v>2193</v>
      </c>
      <c r="H316" s="9" t="s">
        <v>90</v>
      </c>
      <c r="I316" s="27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</row>
    <row r="317" spans="1:27">
      <c r="A317" s="27"/>
      <c r="B317" s="27">
        <v>7</v>
      </c>
      <c r="C317" s="27" t="s">
        <v>1439</v>
      </c>
      <c r="D317" s="31" t="s">
        <v>1060</v>
      </c>
      <c r="E317" s="27" t="s">
        <v>12</v>
      </c>
      <c r="F317" s="27" t="s">
        <v>477</v>
      </c>
      <c r="G317" s="27" t="s">
        <v>2194</v>
      </c>
      <c r="H317" s="9" t="s">
        <v>87</v>
      </c>
      <c r="I317" s="27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</row>
    <row r="318" spans="1:27">
      <c r="A318" s="27"/>
      <c r="B318" s="27">
        <v>14</v>
      </c>
      <c r="C318" s="27" t="s">
        <v>1455</v>
      </c>
      <c r="D318" s="31" t="s">
        <v>2195</v>
      </c>
      <c r="E318" s="27" t="s">
        <v>23</v>
      </c>
      <c r="F318" s="27" t="s">
        <v>2196</v>
      </c>
      <c r="G318" s="27" t="s">
        <v>2197</v>
      </c>
      <c r="H318" s="9" t="s">
        <v>48</v>
      </c>
      <c r="I318" s="27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</row>
    <row r="319" spans="1:27">
      <c r="A319" s="27"/>
      <c r="B319" s="27">
        <v>11</v>
      </c>
      <c r="C319" s="27" t="s">
        <v>1450</v>
      </c>
      <c r="D319" s="31" t="s">
        <v>2198</v>
      </c>
      <c r="E319" s="27" t="s">
        <v>23</v>
      </c>
      <c r="F319" s="27" t="s">
        <v>477</v>
      </c>
      <c r="G319" s="27" t="s">
        <v>2199</v>
      </c>
      <c r="H319" s="9" t="s">
        <v>90</v>
      </c>
      <c r="I319" s="27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</row>
    <row r="320" spans="1:27">
      <c r="A320" s="27"/>
      <c r="B320" s="27">
        <v>18</v>
      </c>
      <c r="C320" s="27" t="s">
        <v>1435</v>
      </c>
      <c r="D320" s="31" t="s">
        <v>1430</v>
      </c>
      <c r="E320" s="27" t="s">
        <v>12</v>
      </c>
      <c r="F320" s="27" t="s">
        <v>2200</v>
      </c>
      <c r="G320" s="27" t="s">
        <v>2201</v>
      </c>
      <c r="H320" s="9" t="s">
        <v>48</v>
      </c>
      <c r="I320" s="27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</row>
    <row r="321" spans="1:27">
      <c r="A321" s="27"/>
      <c r="B321" s="27">
        <v>5</v>
      </c>
      <c r="C321" s="27" t="s">
        <v>1487</v>
      </c>
      <c r="D321" s="31" t="s">
        <v>1431</v>
      </c>
      <c r="E321" s="27" t="s">
        <v>12</v>
      </c>
      <c r="F321" s="27" t="s">
        <v>2202</v>
      </c>
      <c r="G321" s="27" t="s">
        <v>2203</v>
      </c>
      <c r="H321" s="9" t="s">
        <v>87</v>
      </c>
      <c r="I321" s="27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</row>
    <row r="322" spans="1:27">
      <c r="A322" s="27"/>
      <c r="B322" s="27">
        <v>9</v>
      </c>
      <c r="C322" s="27" t="s">
        <v>1802</v>
      </c>
      <c r="D322" s="31" t="s">
        <v>1432</v>
      </c>
      <c r="E322" s="27" t="s">
        <v>12</v>
      </c>
      <c r="F322" s="27" t="s">
        <v>2204</v>
      </c>
      <c r="G322" s="27" t="s">
        <v>2205</v>
      </c>
      <c r="H322" s="9" t="s">
        <v>87</v>
      </c>
      <c r="I322" s="27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</row>
    <row r="323" spans="1:27">
      <c r="A323" s="27"/>
      <c r="B323" s="27">
        <v>1</v>
      </c>
      <c r="C323" s="27" t="s">
        <v>1453</v>
      </c>
      <c r="D323" s="31" t="s">
        <v>2206</v>
      </c>
      <c r="E323" s="27" t="s">
        <v>105</v>
      </c>
      <c r="F323" s="27" t="s">
        <v>2207</v>
      </c>
      <c r="G323" s="27" t="s">
        <v>2208</v>
      </c>
      <c r="H323" s="9" t="s">
        <v>107</v>
      </c>
      <c r="I323" s="27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</row>
    <row r="324" spans="1:27">
      <c r="A324" s="27"/>
      <c r="B324" s="27">
        <v>18</v>
      </c>
      <c r="C324" s="27" t="s">
        <v>1435</v>
      </c>
      <c r="D324" s="31" t="s">
        <v>2209</v>
      </c>
      <c r="E324" s="27" t="s">
        <v>23</v>
      </c>
      <c r="F324" s="27" t="s">
        <v>2210</v>
      </c>
      <c r="G324" s="27" t="s">
        <v>2211</v>
      </c>
      <c r="H324" s="9" t="s">
        <v>7</v>
      </c>
      <c r="I324" s="27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</row>
    <row r="325" spans="1:27">
      <c r="A325" s="27"/>
      <c r="B325" s="27">
        <v>5</v>
      </c>
      <c r="C325" s="27" t="s">
        <v>1487</v>
      </c>
      <c r="D325" s="31" t="s">
        <v>2212</v>
      </c>
      <c r="E325" s="27" t="s">
        <v>23</v>
      </c>
      <c r="F325" s="27" t="s">
        <v>2213</v>
      </c>
      <c r="G325" s="27" t="s">
        <v>2214</v>
      </c>
      <c r="H325" s="9" t="s">
        <v>203</v>
      </c>
      <c r="I325" s="27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</row>
    <row r="326" spans="1:27">
      <c r="A326" s="27"/>
      <c r="B326" s="27">
        <v>10</v>
      </c>
      <c r="C326" s="27" t="s">
        <v>1485</v>
      </c>
      <c r="D326" s="31" t="s">
        <v>2215</v>
      </c>
      <c r="E326" s="27" t="s">
        <v>23</v>
      </c>
      <c r="F326" s="27" t="s">
        <v>2216</v>
      </c>
      <c r="G326" s="27" t="s">
        <v>2217</v>
      </c>
      <c r="H326" s="9" t="s">
        <v>150</v>
      </c>
      <c r="I326" s="27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</row>
    <row r="327" spans="1:27">
      <c r="A327" s="27"/>
      <c r="B327" s="27">
        <v>6</v>
      </c>
      <c r="C327" s="27" t="s">
        <v>1443</v>
      </c>
      <c r="D327" s="31" t="s">
        <v>2218</v>
      </c>
      <c r="E327" s="27" t="s">
        <v>12</v>
      </c>
      <c r="F327" s="27" t="s">
        <v>2219</v>
      </c>
      <c r="G327" s="27" t="s">
        <v>2220</v>
      </c>
      <c r="H327" s="9" t="s">
        <v>87</v>
      </c>
      <c r="I327" s="27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</row>
    <row r="328" spans="1:27">
      <c r="A328" s="27"/>
      <c r="B328" s="27">
        <v>2</v>
      </c>
      <c r="C328" s="27" t="s">
        <v>1511</v>
      </c>
      <c r="D328" s="31" t="s">
        <v>2221</v>
      </c>
      <c r="E328" s="27" t="s">
        <v>54</v>
      </c>
      <c r="F328" s="27" t="s">
        <v>2222</v>
      </c>
      <c r="G328" s="27" t="s">
        <v>2223</v>
      </c>
      <c r="H328" s="9" t="s">
        <v>21</v>
      </c>
      <c r="I328" s="27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</row>
    <row r="329" spans="1:27">
      <c r="A329" s="27"/>
      <c r="B329" s="27">
        <v>5</v>
      </c>
      <c r="C329" s="27" t="s">
        <v>1487</v>
      </c>
      <c r="D329" s="31" t="s">
        <v>1433</v>
      </c>
      <c r="E329" s="27" t="s">
        <v>23</v>
      </c>
      <c r="F329" s="27" t="s">
        <v>2224</v>
      </c>
      <c r="G329" s="27" t="s">
        <v>2225</v>
      </c>
      <c r="H329" s="9" t="s">
        <v>48</v>
      </c>
      <c r="I329" s="27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</row>
    <row r="330" spans="1:27">
      <c r="A330" s="27"/>
      <c r="B330" s="27">
        <v>4</v>
      </c>
      <c r="C330" s="27" t="s">
        <v>1495</v>
      </c>
      <c r="D330" s="31" t="s">
        <v>1434</v>
      </c>
      <c r="E330" s="27" t="s">
        <v>23</v>
      </c>
      <c r="F330" s="27" t="s">
        <v>2226</v>
      </c>
      <c r="G330" s="27" t="s">
        <v>2227</v>
      </c>
      <c r="H330" s="9" t="s">
        <v>48</v>
      </c>
      <c r="I330" s="27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</row>
    <row r="331" spans="1:27">
      <c r="A331" s="27"/>
      <c r="B331" s="27">
        <v>12</v>
      </c>
      <c r="C331" s="27" t="s">
        <v>1446</v>
      </c>
      <c r="D331" s="31" t="s">
        <v>2228</v>
      </c>
      <c r="E331" s="27" t="s">
        <v>23</v>
      </c>
      <c r="F331" s="27" t="s">
        <v>2229</v>
      </c>
      <c r="G331" s="27" t="s">
        <v>2230</v>
      </c>
      <c r="H331" s="9" t="s">
        <v>34</v>
      </c>
      <c r="I331" s="27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</row>
    <row r="332" spans="1:27">
      <c r="A332" s="27"/>
      <c r="B332" s="27">
        <v>5</v>
      </c>
      <c r="C332" s="27" t="s">
        <v>1487</v>
      </c>
      <c r="D332" s="31" t="s">
        <v>2231</v>
      </c>
      <c r="E332" s="27" t="s">
        <v>23</v>
      </c>
      <c r="F332" s="27" t="s">
        <v>2232</v>
      </c>
      <c r="G332" s="27" t="s">
        <v>2233</v>
      </c>
      <c r="H332" s="9" t="s">
        <v>203</v>
      </c>
      <c r="I332" s="27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</row>
    <row r="333" spans="1:27">
      <c r="A333" s="27"/>
      <c r="B333" s="27">
        <v>4</v>
      </c>
      <c r="C333" s="27" t="s">
        <v>1495</v>
      </c>
      <c r="D333" s="31" t="s">
        <v>2234</v>
      </c>
      <c r="E333" s="27" t="s">
        <v>1528</v>
      </c>
      <c r="F333" s="27" t="s">
        <v>2235</v>
      </c>
      <c r="G333" s="27" t="s">
        <v>2236</v>
      </c>
      <c r="H333" s="9" t="s">
        <v>30</v>
      </c>
      <c r="I333" s="27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</row>
    <row r="334" spans="1:27">
      <c r="A334" s="27"/>
      <c r="B334" s="27">
        <v>10</v>
      </c>
      <c r="C334" s="27" t="s">
        <v>1485</v>
      </c>
      <c r="D334" s="31" t="s">
        <v>2237</v>
      </c>
      <c r="E334" s="27" t="s">
        <v>12</v>
      </c>
      <c r="F334" s="27" t="s">
        <v>2238</v>
      </c>
      <c r="G334" s="27" t="s">
        <v>2239</v>
      </c>
      <c r="H334" s="9" t="s">
        <v>107</v>
      </c>
      <c r="I334" s="27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</row>
    <row r="335" spans="1:27">
      <c r="A335" s="27"/>
      <c r="B335" s="27">
        <v>9</v>
      </c>
      <c r="C335" s="27" t="s">
        <v>1802</v>
      </c>
      <c r="D335" s="31" t="s">
        <v>2240</v>
      </c>
      <c r="E335" s="27" t="s">
        <v>23</v>
      </c>
      <c r="F335" s="27" t="s">
        <v>2241</v>
      </c>
      <c r="G335" s="27" t="s">
        <v>2242</v>
      </c>
      <c r="H335" s="9" t="s">
        <v>48</v>
      </c>
      <c r="I335" s="27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</row>
    <row r="336" spans="1:27">
      <c r="A336" s="27"/>
      <c r="B336" s="27">
        <v>8</v>
      </c>
      <c r="C336" s="27" t="s">
        <v>1494</v>
      </c>
      <c r="D336" s="31" t="s">
        <v>2243</v>
      </c>
      <c r="E336" s="27" t="s">
        <v>23</v>
      </c>
      <c r="F336" s="27" t="s">
        <v>2244</v>
      </c>
      <c r="G336" s="27" t="s">
        <v>2245</v>
      </c>
      <c r="H336" s="9" t="s">
        <v>87</v>
      </c>
      <c r="I336" s="27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</row>
    <row r="337" spans="1:27">
      <c r="A337" s="27"/>
      <c r="B337" s="27">
        <v>7</v>
      </c>
      <c r="C337" s="27" t="s">
        <v>1439</v>
      </c>
      <c r="D337" s="31" t="s">
        <v>2246</v>
      </c>
      <c r="E337" s="27" t="s">
        <v>105</v>
      </c>
      <c r="F337" s="27" t="s">
        <v>2247</v>
      </c>
      <c r="G337" s="27" t="s">
        <v>2248</v>
      </c>
      <c r="H337" s="9" t="s">
        <v>107</v>
      </c>
      <c r="I337" s="27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</row>
    <row r="338" spans="1:27">
      <c r="A338" s="27"/>
      <c r="B338" s="27">
        <v>14</v>
      </c>
      <c r="C338" s="27" t="s">
        <v>1455</v>
      </c>
      <c r="D338" s="31" t="s">
        <v>2249</v>
      </c>
      <c r="E338" s="27" t="s">
        <v>12</v>
      </c>
      <c r="F338" s="27" t="s">
        <v>2250</v>
      </c>
      <c r="G338" s="27" t="s">
        <v>2251</v>
      </c>
      <c r="H338" s="9" t="s">
        <v>87</v>
      </c>
      <c r="I338" s="27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</row>
    <row r="339" spans="1:27">
      <c r="A339" s="27"/>
      <c r="B339" s="27">
        <v>3</v>
      </c>
      <c r="C339" s="27" t="s">
        <v>1457</v>
      </c>
      <c r="D339" s="31" t="s">
        <v>2252</v>
      </c>
      <c r="E339" s="27" t="s">
        <v>12</v>
      </c>
      <c r="F339" s="27" t="s">
        <v>2253</v>
      </c>
      <c r="G339" s="27" t="s">
        <v>2254</v>
      </c>
      <c r="H339" s="9" t="s">
        <v>87</v>
      </c>
      <c r="I339" s="27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</row>
    <row r="340" spans="1:27">
      <c r="A340" s="27"/>
      <c r="B340" s="27">
        <v>3</v>
      </c>
      <c r="C340" s="27" t="s">
        <v>1457</v>
      </c>
      <c r="D340" s="31" t="s">
        <v>2255</v>
      </c>
      <c r="E340" s="27" t="s">
        <v>74</v>
      </c>
      <c r="F340" s="27" t="s">
        <v>2256</v>
      </c>
      <c r="G340" s="27" t="s">
        <v>2257</v>
      </c>
      <c r="H340" s="9" t="s">
        <v>30</v>
      </c>
      <c r="I340" s="27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</row>
    <row r="341" spans="1:27">
      <c r="A341" s="27"/>
      <c r="B341" s="27">
        <v>11</v>
      </c>
      <c r="C341" s="27" t="s">
        <v>1450</v>
      </c>
      <c r="D341" s="31" t="s">
        <v>2258</v>
      </c>
      <c r="E341" s="27" t="s">
        <v>23</v>
      </c>
      <c r="F341" s="27" t="s">
        <v>2259</v>
      </c>
      <c r="G341" s="27" t="s">
        <v>2260</v>
      </c>
      <c r="H341" s="9" t="s">
        <v>115</v>
      </c>
      <c r="I341" s="27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</row>
    <row r="342" spans="1:27">
      <c r="A342" s="27"/>
      <c r="B342" s="27">
        <v>17</v>
      </c>
      <c r="C342" s="27" t="s">
        <v>1500</v>
      </c>
      <c r="D342" s="31" t="s">
        <v>2261</v>
      </c>
      <c r="E342" s="27" t="s">
        <v>12</v>
      </c>
      <c r="F342" s="27" t="s">
        <v>2262</v>
      </c>
      <c r="G342" s="27" t="s">
        <v>2263</v>
      </c>
      <c r="H342" s="9" t="s">
        <v>150</v>
      </c>
      <c r="I342" s="27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</row>
    <row r="343" spans="1:27">
      <c r="A343" s="27"/>
      <c r="B343" s="27">
        <v>1</v>
      </c>
      <c r="C343" s="27" t="s">
        <v>1453</v>
      </c>
      <c r="D343" s="31" t="s">
        <v>2264</v>
      </c>
      <c r="E343" s="27" t="s">
        <v>23</v>
      </c>
      <c r="F343" s="27" t="s">
        <v>2265</v>
      </c>
      <c r="G343" s="27" t="s">
        <v>2266</v>
      </c>
      <c r="H343" s="30" t="s">
        <v>64</v>
      </c>
      <c r="I343" s="27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</row>
    <row r="344" spans="1:27">
      <c r="A344" s="27"/>
      <c r="B344" s="27">
        <v>8</v>
      </c>
      <c r="C344" s="27" t="s">
        <v>1494</v>
      </c>
      <c r="D344" s="31" t="s">
        <v>2267</v>
      </c>
      <c r="E344" s="27" t="s">
        <v>105</v>
      </c>
      <c r="F344" s="27" t="s">
        <v>2268</v>
      </c>
      <c r="G344" s="27" t="s">
        <v>2269</v>
      </c>
      <c r="H344" s="9" t="s">
        <v>107</v>
      </c>
      <c r="I344" s="27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</row>
    <row r="345" spans="1:27">
      <c r="A345" s="27"/>
      <c r="B345" s="27">
        <v>14</v>
      </c>
      <c r="C345" s="27" t="s">
        <v>1455</v>
      </c>
      <c r="D345" s="31" t="s">
        <v>2270</v>
      </c>
      <c r="E345" s="27" t="s">
        <v>23</v>
      </c>
      <c r="F345" s="27" t="s">
        <v>2271</v>
      </c>
      <c r="G345" s="27" t="s">
        <v>2272</v>
      </c>
      <c r="H345" s="9" t="s">
        <v>48</v>
      </c>
      <c r="I345" s="27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</row>
    <row r="346" spans="1:27">
      <c r="A346" s="27"/>
      <c r="B346" s="27">
        <v>8</v>
      </c>
      <c r="C346" s="27" t="s">
        <v>1494</v>
      </c>
      <c r="D346" s="31" t="s">
        <v>2273</v>
      </c>
      <c r="E346" s="27" t="s">
        <v>23</v>
      </c>
      <c r="F346" s="27" t="s">
        <v>2274</v>
      </c>
      <c r="G346" s="27" t="s">
        <v>2275</v>
      </c>
      <c r="H346" s="30" t="s">
        <v>64</v>
      </c>
      <c r="I346" s="27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</row>
    <row r="347" spans="1:27">
      <c r="A347" s="27"/>
      <c r="B347" s="27">
        <v>15</v>
      </c>
      <c r="C347" s="27" t="s">
        <v>1516</v>
      </c>
      <c r="D347" s="27" t="s">
        <v>2276</v>
      </c>
      <c r="E347" s="27" t="s">
        <v>23</v>
      </c>
      <c r="F347" s="27" t="s">
        <v>2277</v>
      </c>
      <c r="G347" s="27" t="s">
        <v>2278</v>
      </c>
      <c r="H347" s="9" t="s">
        <v>90</v>
      </c>
      <c r="I347" s="27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</row>
    <row r="348" spans="1:27">
      <c r="A348" s="27"/>
      <c r="B348" s="27">
        <v>2</v>
      </c>
      <c r="C348" s="27" t="s">
        <v>1511</v>
      </c>
      <c r="D348" s="27" t="s">
        <v>2279</v>
      </c>
      <c r="E348" s="27" t="s">
        <v>23</v>
      </c>
      <c r="F348" s="27" t="s">
        <v>2280</v>
      </c>
      <c r="G348" s="27" t="s">
        <v>2281</v>
      </c>
      <c r="H348" s="9" t="s">
        <v>87</v>
      </c>
      <c r="I348" s="27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</row>
    <row r="349" spans="1:27">
      <c r="A349" s="27"/>
      <c r="B349" s="27">
        <v>10</v>
      </c>
      <c r="C349" s="27" t="s">
        <v>1485</v>
      </c>
      <c r="D349" s="27" t="s">
        <v>2282</v>
      </c>
      <c r="E349" s="27" t="s">
        <v>23</v>
      </c>
      <c r="F349" s="27" t="s">
        <v>2283</v>
      </c>
      <c r="G349" s="27" t="s">
        <v>2284</v>
      </c>
      <c r="H349" s="9" t="s">
        <v>48</v>
      </c>
      <c r="I349" s="27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</row>
    <row r="350" spans="1:27">
      <c r="A350" s="27"/>
      <c r="B350" s="27">
        <v>18</v>
      </c>
      <c r="C350" s="27" t="s">
        <v>1435</v>
      </c>
      <c r="D350" s="27" t="s">
        <v>2285</v>
      </c>
      <c r="E350" s="27" t="s">
        <v>12</v>
      </c>
      <c r="F350" s="27" t="s">
        <v>2286</v>
      </c>
      <c r="G350" s="27" t="s">
        <v>2287</v>
      </c>
      <c r="H350" s="9" t="s">
        <v>87</v>
      </c>
      <c r="I350" s="27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</row>
    <row r="351" spans="1:27">
      <c r="A351" s="27"/>
      <c r="B351" s="27">
        <v>4</v>
      </c>
      <c r="C351" s="27" t="s">
        <v>1495</v>
      </c>
      <c r="D351" s="27" t="s">
        <v>2288</v>
      </c>
      <c r="E351" s="27" t="s">
        <v>23</v>
      </c>
      <c r="F351" s="27" t="s">
        <v>2289</v>
      </c>
      <c r="G351" s="27" t="s">
        <v>2290</v>
      </c>
      <c r="H351" s="9" t="s">
        <v>48</v>
      </c>
      <c r="I351" s="27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</row>
    <row r="352" spans="1:27">
      <c r="A352" s="27"/>
      <c r="B352" s="27">
        <v>13</v>
      </c>
      <c r="C352" s="27" t="s">
        <v>1468</v>
      </c>
      <c r="D352" s="27" t="s">
        <v>2291</v>
      </c>
      <c r="E352" s="27" t="s">
        <v>23</v>
      </c>
      <c r="F352" s="27" t="s">
        <v>2292</v>
      </c>
      <c r="G352" s="27" t="s">
        <v>2293</v>
      </c>
      <c r="H352" s="9" t="s">
        <v>34</v>
      </c>
      <c r="I352" s="27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</row>
    <row r="353" spans="1:27">
      <c r="A353" s="27"/>
      <c r="B353" s="27">
        <v>2</v>
      </c>
      <c r="C353" s="27" t="s">
        <v>1511</v>
      </c>
      <c r="D353" s="27" t="s">
        <v>2294</v>
      </c>
      <c r="E353" s="27" t="s">
        <v>54</v>
      </c>
      <c r="F353" s="27" t="s">
        <v>532</v>
      </c>
      <c r="G353" s="27" t="s">
        <v>2295</v>
      </c>
      <c r="H353" s="9" t="s">
        <v>21</v>
      </c>
      <c r="I353" s="27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</row>
    <row r="354" spans="1:27">
      <c r="A354" s="27"/>
      <c r="B354" s="27">
        <v>9</v>
      </c>
      <c r="C354" s="27" t="s">
        <v>1802</v>
      </c>
      <c r="D354" s="27" t="s">
        <v>2296</v>
      </c>
      <c r="E354" s="27" t="s">
        <v>23</v>
      </c>
      <c r="F354" s="27" t="s">
        <v>2297</v>
      </c>
      <c r="G354" s="27" t="s">
        <v>2298</v>
      </c>
      <c r="H354" s="30" t="s">
        <v>87</v>
      </c>
      <c r="I354" s="27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</row>
    <row r="355" spans="1:27">
      <c r="A355" s="27"/>
      <c r="B355" s="27">
        <v>14</v>
      </c>
      <c r="C355" s="27" t="s">
        <v>1455</v>
      </c>
      <c r="D355" s="27" t="s">
        <v>2299</v>
      </c>
      <c r="E355" s="27" t="s">
        <v>23</v>
      </c>
      <c r="F355" s="27" t="s">
        <v>2300</v>
      </c>
      <c r="G355" s="27" t="s">
        <v>2301</v>
      </c>
      <c r="H355" s="9" t="s">
        <v>48</v>
      </c>
      <c r="I355" s="27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</row>
    <row r="356" spans="1:27">
      <c r="A356" s="27"/>
      <c r="B356" s="27">
        <v>14</v>
      </c>
      <c r="C356" s="27" t="s">
        <v>1455</v>
      </c>
      <c r="D356" s="27" t="s">
        <v>2302</v>
      </c>
      <c r="E356" s="27" t="s">
        <v>12</v>
      </c>
      <c r="F356" s="27" t="s">
        <v>2303</v>
      </c>
      <c r="G356" s="27" t="s">
        <v>2304</v>
      </c>
      <c r="H356" s="9" t="s">
        <v>150</v>
      </c>
      <c r="I356" s="27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</row>
    <row r="357" spans="1:27">
      <c r="A357" s="27"/>
      <c r="B357" s="27">
        <v>3</v>
      </c>
      <c r="C357" s="27" t="s">
        <v>1457</v>
      </c>
      <c r="D357" s="27" t="s">
        <v>2305</v>
      </c>
      <c r="E357" s="27" t="s">
        <v>23</v>
      </c>
      <c r="F357" s="27" t="s">
        <v>2306</v>
      </c>
      <c r="G357" s="27" t="s">
        <v>2307</v>
      </c>
      <c r="H357" s="9" t="s">
        <v>90</v>
      </c>
      <c r="I357" s="27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</row>
    <row r="358" spans="1:27">
      <c r="A358" s="27"/>
      <c r="B358" s="27">
        <v>11</v>
      </c>
      <c r="C358" s="27" t="s">
        <v>1450</v>
      </c>
      <c r="D358" s="27" t="s">
        <v>2308</v>
      </c>
      <c r="E358" s="27" t="s">
        <v>804</v>
      </c>
      <c r="F358" s="27" t="s">
        <v>539</v>
      </c>
      <c r="G358" s="27" t="s">
        <v>2309</v>
      </c>
      <c r="H358" s="9" t="s">
        <v>30</v>
      </c>
      <c r="I358" s="27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</row>
    <row r="359" spans="1:27">
      <c r="A359" s="27"/>
      <c r="B359" s="27">
        <v>9</v>
      </c>
      <c r="C359" s="27" t="s">
        <v>1802</v>
      </c>
      <c r="D359" s="27" t="s">
        <v>2310</v>
      </c>
      <c r="E359" s="27" t="s">
        <v>804</v>
      </c>
      <c r="F359" s="27" t="s">
        <v>2311</v>
      </c>
      <c r="G359" s="27" t="s">
        <v>2312</v>
      </c>
      <c r="H359" s="9" t="s">
        <v>30</v>
      </c>
      <c r="I359" s="27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</row>
    <row r="360" spans="1:27">
      <c r="A360" s="27"/>
      <c r="B360" s="27">
        <v>13</v>
      </c>
      <c r="C360" s="27" t="s">
        <v>1468</v>
      </c>
      <c r="D360" s="27" t="s">
        <v>2313</v>
      </c>
      <c r="E360" s="27" t="s">
        <v>23</v>
      </c>
      <c r="F360" s="27" t="s">
        <v>2314</v>
      </c>
      <c r="G360" s="27" t="s">
        <v>2315</v>
      </c>
      <c r="H360" s="9" t="s">
        <v>87</v>
      </c>
      <c r="I360" s="27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</row>
    <row r="361" spans="1:27">
      <c r="A361" s="27"/>
      <c r="B361" s="27">
        <v>17</v>
      </c>
      <c r="C361" s="27" t="s">
        <v>1500</v>
      </c>
      <c r="D361" s="27" t="s">
        <v>2316</v>
      </c>
      <c r="E361" s="27" t="s">
        <v>23</v>
      </c>
      <c r="F361" s="27" t="s">
        <v>2317</v>
      </c>
      <c r="G361" s="27" t="s">
        <v>2318</v>
      </c>
      <c r="H361" s="9" t="s">
        <v>87</v>
      </c>
      <c r="I361" s="27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</row>
    <row r="362" spans="1:27">
      <c r="A362" s="27"/>
      <c r="B362" s="27">
        <v>15</v>
      </c>
      <c r="C362" s="27" t="s">
        <v>1516</v>
      </c>
      <c r="D362" s="31" t="s">
        <v>2319</v>
      </c>
      <c r="E362" s="27" t="s">
        <v>23</v>
      </c>
      <c r="F362" s="27" t="s">
        <v>2320</v>
      </c>
      <c r="G362" s="27" t="s">
        <v>2321</v>
      </c>
      <c r="H362" s="9" t="s">
        <v>48</v>
      </c>
      <c r="I362" s="27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</row>
    <row r="363" spans="1:27">
      <c r="A363" s="27"/>
      <c r="B363" s="27">
        <v>7</v>
      </c>
      <c r="C363" s="27" t="s">
        <v>1439</v>
      </c>
      <c r="D363" s="31" t="s">
        <v>2322</v>
      </c>
      <c r="E363" s="27" t="s">
        <v>23</v>
      </c>
      <c r="F363" s="27" t="s">
        <v>2323</v>
      </c>
      <c r="G363" s="27" t="s">
        <v>2324</v>
      </c>
      <c r="H363" s="9" t="s">
        <v>48</v>
      </c>
      <c r="I363" s="27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</row>
    <row r="364" spans="1:27">
      <c r="A364" s="27"/>
      <c r="B364" s="27">
        <v>8</v>
      </c>
      <c r="C364" s="27" t="s">
        <v>1494</v>
      </c>
      <c r="D364" s="31" t="s">
        <v>2325</v>
      </c>
      <c r="E364" s="27" t="s">
        <v>451</v>
      </c>
      <c r="F364" s="27" t="s">
        <v>2326</v>
      </c>
      <c r="G364" s="27" t="s">
        <v>2327</v>
      </c>
      <c r="H364" s="9" t="s">
        <v>87</v>
      </c>
      <c r="I364" s="27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</row>
    <row r="365" spans="1:27">
      <c r="A365" s="27"/>
      <c r="B365" s="27">
        <v>3</v>
      </c>
      <c r="C365" s="27" t="s">
        <v>1457</v>
      </c>
      <c r="D365" s="31" t="s">
        <v>2328</v>
      </c>
      <c r="E365" s="27" t="s">
        <v>23</v>
      </c>
      <c r="F365" s="27" t="s">
        <v>2329</v>
      </c>
      <c r="G365" s="27" t="s">
        <v>2330</v>
      </c>
      <c r="H365" s="9" t="s">
        <v>87</v>
      </c>
      <c r="I365" s="27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</row>
    <row r="366" spans="1:27">
      <c r="A366" s="27"/>
      <c r="B366" s="27">
        <v>16</v>
      </c>
      <c r="C366" s="27" t="s">
        <v>1459</v>
      </c>
      <c r="D366" s="31" t="s">
        <v>2331</v>
      </c>
      <c r="E366" s="27" t="s">
        <v>12</v>
      </c>
      <c r="F366" s="27" t="s">
        <v>2332</v>
      </c>
      <c r="G366" s="27" t="s">
        <v>2333</v>
      </c>
      <c r="H366" s="9" t="s">
        <v>15</v>
      </c>
      <c r="I366" s="27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</row>
    <row r="367" spans="1:27">
      <c r="A367" s="27"/>
      <c r="B367" s="27">
        <v>12</v>
      </c>
      <c r="C367" s="27" t="s">
        <v>1446</v>
      </c>
      <c r="D367" s="31" t="s">
        <v>2334</v>
      </c>
      <c r="E367" s="27" t="s">
        <v>23</v>
      </c>
      <c r="F367" s="27" t="s">
        <v>2335</v>
      </c>
      <c r="G367" s="27" t="s">
        <v>2336</v>
      </c>
      <c r="H367" s="9" t="s">
        <v>34</v>
      </c>
      <c r="I367" s="27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</row>
    <row r="368" spans="1:27">
      <c r="A368" s="27"/>
      <c r="B368" s="27">
        <v>4</v>
      </c>
      <c r="C368" s="27" t="s">
        <v>1495</v>
      </c>
      <c r="D368" s="31" t="s">
        <v>2337</v>
      </c>
      <c r="E368" s="27" t="s">
        <v>74</v>
      </c>
      <c r="F368" s="27" t="s">
        <v>2338</v>
      </c>
      <c r="G368" s="27" t="s">
        <v>2339</v>
      </c>
      <c r="H368" s="9" t="s">
        <v>30</v>
      </c>
      <c r="I368" s="27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</row>
    <row r="369" spans="1:27">
      <c r="A369" s="27"/>
      <c r="B369" s="27">
        <v>14</v>
      </c>
      <c r="C369" s="27" t="s">
        <v>1455</v>
      </c>
      <c r="D369" s="31" t="s">
        <v>2340</v>
      </c>
      <c r="E369" s="27" t="s">
        <v>12</v>
      </c>
      <c r="F369" s="27" t="s">
        <v>2341</v>
      </c>
      <c r="G369" s="27" t="s">
        <v>2342</v>
      </c>
      <c r="H369" s="9" t="s">
        <v>150</v>
      </c>
      <c r="I369" s="27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</row>
    <row r="370" spans="1:27">
      <c r="A370" s="27"/>
      <c r="B370" s="27">
        <v>7</v>
      </c>
      <c r="C370" s="27" t="s">
        <v>1439</v>
      </c>
      <c r="D370" s="31" t="s">
        <v>2343</v>
      </c>
      <c r="E370" s="27" t="s">
        <v>23</v>
      </c>
      <c r="F370" s="27" t="s">
        <v>2344</v>
      </c>
      <c r="G370" s="27" t="s">
        <v>2345</v>
      </c>
      <c r="H370" s="9" t="s">
        <v>48</v>
      </c>
      <c r="I370" s="27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</row>
    <row r="371" spans="1:27">
      <c r="A371" s="27"/>
      <c r="B371" s="27">
        <v>1</v>
      </c>
      <c r="C371" s="27" t="s">
        <v>1453</v>
      </c>
      <c r="D371" s="31" t="s">
        <v>2346</v>
      </c>
      <c r="E371" s="27" t="s">
        <v>23</v>
      </c>
      <c r="F371" s="27" t="s">
        <v>2347</v>
      </c>
      <c r="G371" s="27" t="s">
        <v>2348</v>
      </c>
      <c r="H371" s="9" t="s">
        <v>87</v>
      </c>
      <c r="I371" s="27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</row>
    <row r="372" spans="1:27">
      <c r="A372" s="27"/>
      <c r="B372" s="27">
        <v>17</v>
      </c>
      <c r="C372" s="27"/>
      <c r="D372" s="31" t="s">
        <v>2349</v>
      </c>
      <c r="E372" s="27" t="s">
        <v>1103</v>
      </c>
      <c r="F372" s="27" t="s">
        <v>2350</v>
      </c>
      <c r="G372" s="27" t="s">
        <v>2351</v>
      </c>
      <c r="H372" s="9" t="s">
        <v>30</v>
      </c>
      <c r="I372" s="27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</row>
    <row r="373" spans="1:27">
      <c r="A373" s="27"/>
      <c r="B373" s="27">
        <v>4</v>
      </c>
      <c r="C373" s="27" t="s">
        <v>1495</v>
      </c>
      <c r="D373" s="31" t="s">
        <v>2352</v>
      </c>
      <c r="E373" s="27" t="s">
        <v>23</v>
      </c>
      <c r="F373" s="27" t="s">
        <v>2353</v>
      </c>
      <c r="G373" s="27" t="s">
        <v>2354</v>
      </c>
      <c r="H373" s="9" t="s">
        <v>48</v>
      </c>
      <c r="I373" s="27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</row>
    <row r="374" spans="1:27">
      <c r="A374" s="27"/>
      <c r="B374" s="27">
        <v>1</v>
      </c>
      <c r="C374" s="27" t="s">
        <v>1453</v>
      </c>
      <c r="D374" s="31" t="s">
        <v>2355</v>
      </c>
      <c r="E374" s="27" t="s">
        <v>12</v>
      </c>
      <c r="F374" s="27" t="s">
        <v>2350</v>
      </c>
      <c r="G374" s="27" t="s">
        <v>2356</v>
      </c>
      <c r="H374" s="9" t="s">
        <v>107</v>
      </c>
      <c r="I374" s="27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</row>
    <row r="375" spans="1:27">
      <c r="A375" s="27"/>
      <c r="B375" s="27">
        <v>3</v>
      </c>
      <c r="C375" s="27" t="s">
        <v>1457</v>
      </c>
      <c r="D375" s="31" t="s">
        <v>2357</v>
      </c>
      <c r="E375" s="27" t="s">
        <v>23</v>
      </c>
      <c r="F375" s="27" t="s">
        <v>2358</v>
      </c>
      <c r="G375" s="27" t="s">
        <v>2359</v>
      </c>
      <c r="H375" s="9" t="s">
        <v>48</v>
      </c>
      <c r="I375" s="27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</row>
    <row r="376" spans="1:27">
      <c r="A376" s="27"/>
      <c r="B376" s="27">
        <v>6</v>
      </c>
      <c r="C376" s="27" t="s">
        <v>1443</v>
      </c>
      <c r="D376" s="31" t="s">
        <v>2360</v>
      </c>
      <c r="E376" s="27" t="s">
        <v>105</v>
      </c>
      <c r="F376" s="27" t="s">
        <v>2361</v>
      </c>
      <c r="G376" s="27" t="s">
        <v>2362</v>
      </c>
      <c r="H376" s="9" t="s">
        <v>107</v>
      </c>
      <c r="I376" s="27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</row>
    <row r="377" spans="1:27">
      <c r="A377" s="27"/>
      <c r="B377" s="27">
        <v>9</v>
      </c>
      <c r="C377" s="27" t="s">
        <v>1802</v>
      </c>
      <c r="D377" s="31" t="s">
        <v>2363</v>
      </c>
      <c r="E377" s="27" t="s">
        <v>23</v>
      </c>
      <c r="F377" s="27" t="s">
        <v>2364</v>
      </c>
      <c r="G377" s="27" t="s">
        <v>2365</v>
      </c>
      <c r="H377" s="9" t="s">
        <v>48</v>
      </c>
      <c r="I377" s="27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</row>
    <row r="378" spans="1:27">
      <c r="A378" s="27"/>
      <c r="B378" s="27">
        <v>14</v>
      </c>
      <c r="C378" s="27" t="s">
        <v>1455</v>
      </c>
      <c r="D378" s="31" t="s">
        <v>2366</v>
      </c>
      <c r="E378" s="27" t="s">
        <v>23</v>
      </c>
      <c r="F378" s="27" t="s">
        <v>2367</v>
      </c>
      <c r="G378" s="27" t="s">
        <v>2368</v>
      </c>
      <c r="H378" s="9" t="s">
        <v>48</v>
      </c>
      <c r="I378" s="27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</row>
    <row r="379" spans="1:27">
      <c r="A379" s="27"/>
      <c r="B379" s="27">
        <v>5</v>
      </c>
      <c r="C379" s="27" t="s">
        <v>1487</v>
      </c>
      <c r="D379" s="31" t="s">
        <v>2369</v>
      </c>
      <c r="E379" s="27" t="s">
        <v>23</v>
      </c>
      <c r="F379" s="27" t="s">
        <v>2370</v>
      </c>
      <c r="G379" s="27" t="s">
        <v>2371</v>
      </c>
      <c r="H379" s="9" t="s">
        <v>87</v>
      </c>
      <c r="I379" s="27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</row>
    <row r="380" spans="1:27">
      <c r="A380" s="27"/>
      <c r="B380" s="27">
        <v>8</v>
      </c>
      <c r="C380" s="27" t="s">
        <v>1494</v>
      </c>
      <c r="D380" s="31" t="s">
        <v>2372</v>
      </c>
      <c r="E380" s="27" t="s">
        <v>23</v>
      </c>
      <c r="F380" s="27" t="s">
        <v>2373</v>
      </c>
      <c r="G380" s="27" t="s">
        <v>2374</v>
      </c>
      <c r="H380" s="9" t="s">
        <v>60</v>
      </c>
      <c r="I380" s="27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</row>
    <row r="381" spans="1:27">
      <c r="A381" s="27"/>
      <c r="B381" s="27">
        <v>14</v>
      </c>
      <c r="C381" s="27" t="s">
        <v>1455</v>
      </c>
      <c r="D381" s="31" t="s">
        <v>1132</v>
      </c>
      <c r="E381" s="27" t="s">
        <v>23</v>
      </c>
      <c r="F381" s="27" t="s">
        <v>1133</v>
      </c>
      <c r="G381" s="27" t="s">
        <v>2375</v>
      </c>
      <c r="H381" s="9" t="s">
        <v>34</v>
      </c>
      <c r="I381" s="27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</row>
    <row r="382" spans="1:27">
      <c r="A382" s="27"/>
      <c r="B382" s="27">
        <v>12</v>
      </c>
      <c r="C382" s="27" t="s">
        <v>1446</v>
      </c>
      <c r="D382" s="31" t="s">
        <v>2376</v>
      </c>
      <c r="E382" s="27" t="s">
        <v>23</v>
      </c>
      <c r="F382" s="27" t="s">
        <v>2377</v>
      </c>
      <c r="G382" s="27" t="s">
        <v>2378</v>
      </c>
      <c r="H382" s="9" t="s">
        <v>15</v>
      </c>
      <c r="I382" s="27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</row>
    <row r="383" spans="1:27">
      <c r="A383" s="27"/>
      <c r="B383" s="27">
        <v>7</v>
      </c>
      <c r="C383" s="27" t="s">
        <v>1439</v>
      </c>
      <c r="D383" s="31" t="s">
        <v>2379</v>
      </c>
      <c r="E383" s="27" t="s">
        <v>105</v>
      </c>
      <c r="F383" s="27" t="s">
        <v>2380</v>
      </c>
      <c r="G383" s="27" t="s">
        <v>2381</v>
      </c>
      <c r="H383" s="9" t="s">
        <v>107</v>
      </c>
      <c r="I383" s="27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</row>
    <row r="384" spans="1:27">
      <c r="A384" s="27"/>
      <c r="B384" s="27">
        <v>3</v>
      </c>
      <c r="C384" s="27" t="s">
        <v>1457</v>
      </c>
      <c r="D384" s="31" t="s">
        <v>2382</v>
      </c>
      <c r="E384" s="27" t="s">
        <v>23</v>
      </c>
      <c r="F384" s="27" t="s">
        <v>2383</v>
      </c>
      <c r="G384" s="27" t="s">
        <v>2384</v>
      </c>
      <c r="H384" s="9" t="s">
        <v>87</v>
      </c>
      <c r="I384" s="27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</row>
    <row r="385" spans="1:27">
      <c r="A385" s="27"/>
      <c r="B385" s="27">
        <v>6</v>
      </c>
      <c r="C385" s="27"/>
      <c r="D385" s="31" t="s">
        <v>2385</v>
      </c>
      <c r="E385" s="27" t="s">
        <v>1862</v>
      </c>
      <c r="F385" s="27" t="s">
        <v>2386</v>
      </c>
      <c r="G385" s="27" t="s">
        <v>2387</v>
      </c>
      <c r="H385" s="9" t="s">
        <v>94</v>
      </c>
      <c r="I385" s="27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</row>
    <row r="386" spans="1:27">
      <c r="A386" s="27"/>
      <c r="B386" s="27">
        <v>1</v>
      </c>
      <c r="C386" s="27" t="s">
        <v>1453</v>
      </c>
      <c r="D386" s="31" t="s">
        <v>2388</v>
      </c>
      <c r="E386" s="27" t="s">
        <v>23</v>
      </c>
      <c r="F386" s="27" t="s">
        <v>2389</v>
      </c>
      <c r="G386" s="27" t="s">
        <v>2390</v>
      </c>
      <c r="H386" s="9" t="s">
        <v>94</v>
      </c>
      <c r="I386" s="27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</row>
    <row r="387" spans="1:27">
      <c r="A387" s="27"/>
      <c r="B387" s="27">
        <v>5</v>
      </c>
      <c r="C387" s="27" t="s">
        <v>1487</v>
      </c>
      <c r="D387" s="31" t="s">
        <v>2391</v>
      </c>
      <c r="E387" s="27" t="s">
        <v>23</v>
      </c>
      <c r="F387" s="27" t="s">
        <v>2392</v>
      </c>
      <c r="G387" s="27" t="s">
        <v>2393</v>
      </c>
      <c r="H387" s="9" t="s">
        <v>15</v>
      </c>
      <c r="I387" s="27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</row>
    <row r="388" spans="1:27">
      <c r="A388" s="27"/>
      <c r="B388" s="27">
        <v>11</v>
      </c>
      <c r="C388" s="27" t="s">
        <v>1450</v>
      </c>
      <c r="D388" s="31" t="s">
        <v>2394</v>
      </c>
      <c r="E388" s="27" t="s">
        <v>12</v>
      </c>
      <c r="F388" s="27" t="s">
        <v>2395</v>
      </c>
      <c r="G388" s="27" t="s">
        <v>2396</v>
      </c>
      <c r="H388" s="9" t="s">
        <v>34</v>
      </c>
      <c r="I388" s="27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</row>
    <row r="389" spans="1:27">
      <c r="A389" s="27"/>
      <c r="B389" s="27">
        <v>3</v>
      </c>
      <c r="C389" s="27" t="s">
        <v>1457</v>
      </c>
      <c r="D389" s="31" t="s">
        <v>2397</v>
      </c>
      <c r="E389" s="27" t="s">
        <v>451</v>
      </c>
      <c r="F389" s="27" t="s">
        <v>2398</v>
      </c>
      <c r="G389" s="27" t="s">
        <v>2399</v>
      </c>
      <c r="H389" s="9" t="s">
        <v>87</v>
      </c>
      <c r="I389" s="27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</row>
    <row r="390" spans="1:27">
      <c r="A390" s="27"/>
      <c r="B390" s="27">
        <v>2</v>
      </c>
      <c r="C390" s="27" t="s">
        <v>1511</v>
      </c>
      <c r="D390" s="31" t="s">
        <v>2400</v>
      </c>
      <c r="E390" s="27" t="s">
        <v>12</v>
      </c>
      <c r="F390" s="27" t="s">
        <v>2401</v>
      </c>
      <c r="G390" s="27" t="s">
        <v>2402</v>
      </c>
      <c r="H390" s="9" t="s">
        <v>48</v>
      </c>
      <c r="I390" s="27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</row>
    <row r="391" spans="1:27">
      <c r="A391" s="27"/>
      <c r="B391" s="27">
        <v>6</v>
      </c>
      <c r="C391" s="27" t="s">
        <v>1443</v>
      </c>
      <c r="D391" s="31" t="s">
        <v>2403</v>
      </c>
      <c r="E391" s="27" t="s">
        <v>12</v>
      </c>
      <c r="F391" s="27" t="s">
        <v>2404</v>
      </c>
      <c r="G391" s="27" t="s">
        <v>2405</v>
      </c>
      <c r="H391" s="9" t="s">
        <v>48</v>
      </c>
      <c r="I391" s="27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</row>
    <row r="392" spans="1:27">
      <c r="A392" s="27"/>
      <c r="B392" s="27">
        <v>18</v>
      </c>
      <c r="C392" s="27" t="s">
        <v>1435</v>
      </c>
      <c r="D392" s="31" t="s">
        <v>2406</v>
      </c>
      <c r="E392" s="27" t="s">
        <v>23</v>
      </c>
      <c r="F392" s="27" t="s">
        <v>2407</v>
      </c>
      <c r="G392" s="27" t="s">
        <v>2408</v>
      </c>
      <c r="H392" s="9" t="s">
        <v>34</v>
      </c>
      <c r="I392" s="27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</row>
    <row r="393" spans="1:27">
      <c r="A393" s="27"/>
      <c r="B393" s="27">
        <v>4</v>
      </c>
      <c r="C393" s="27" t="s">
        <v>1495</v>
      </c>
      <c r="D393" s="31" t="s">
        <v>2409</v>
      </c>
      <c r="E393" s="27" t="s">
        <v>23</v>
      </c>
      <c r="F393" s="27" t="s">
        <v>2410</v>
      </c>
      <c r="G393" s="27" t="s">
        <v>2411</v>
      </c>
      <c r="H393" s="9" t="s">
        <v>48</v>
      </c>
      <c r="I393" s="27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</row>
    <row r="394" spans="1:27">
      <c r="A394" s="27"/>
      <c r="B394" s="27">
        <v>15</v>
      </c>
      <c r="C394" s="27" t="s">
        <v>1516</v>
      </c>
      <c r="D394" s="31" t="s">
        <v>2412</v>
      </c>
      <c r="E394" s="27" t="s">
        <v>12</v>
      </c>
      <c r="F394" s="27" t="s">
        <v>2413</v>
      </c>
      <c r="G394" s="27" t="s">
        <v>2414</v>
      </c>
      <c r="H394" s="9" t="s">
        <v>87</v>
      </c>
      <c r="I394" s="27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</row>
    <row r="395" spans="1:27">
      <c r="A395" s="27"/>
      <c r="B395" s="27">
        <v>10</v>
      </c>
      <c r="C395" s="27" t="s">
        <v>1485</v>
      </c>
      <c r="D395" s="31" t="s">
        <v>2415</v>
      </c>
      <c r="E395" s="27" t="s">
        <v>23</v>
      </c>
      <c r="F395" s="27" t="s">
        <v>2416</v>
      </c>
      <c r="G395" s="27" t="s">
        <v>2417</v>
      </c>
      <c r="H395" s="9" t="s">
        <v>15</v>
      </c>
      <c r="I395" s="27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</row>
    <row r="396" spans="1:27">
      <c r="A396" s="27"/>
      <c r="B396" s="27">
        <v>16</v>
      </c>
      <c r="C396" s="27" t="s">
        <v>1459</v>
      </c>
      <c r="D396" s="31" t="s">
        <v>2418</v>
      </c>
      <c r="E396" s="27" t="s">
        <v>105</v>
      </c>
      <c r="F396" s="27" t="s">
        <v>2419</v>
      </c>
      <c r="G396" s="27" t="s">
        <v>2420</v>
      </c>
      <c r="H396" s="9" t="s">
        <v>48</v>
      </c>
      <c r="I396" s="27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</row>
    <row r="397" spans="1:27">
      <c r="A397" s="27"/>
      <c r="B397" s="27">
        <v>12</v>
      </c>
      <c r="C397" s="27" t="s">
        <v>1446</v>
      </c>
      <c r="D397" s="31" t="s">
        <v>2421</v>
      </c>
      <c r="E397" s="27" t="s">
        <v>23</v>
      </c>
      <c r="F397" s="27" t="s">
        <v>2422</v>
      </c>
      <c r="G397" s="27" t="s">
        <v>2423</v>
      </c>
      <c r="H397" s="9" t="s">
        <v>203</v>
      </c>
      <c r="I397" s="27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</row>
    <row r="398" spans="1:27">
      <c r="A398" s="27"/>
      <c r="B398" s="27">
        <v>10</v>
      </c>
      <c r="C398" s="27" t="s">
        <v>1485</v>
      </c>
      <c r="D398" s="31" t="s">
        <v>2424</v>
      </c>
      <c r="E398" s="27" t="s">
        <v>54</v>
      </c>
      <c r="F398" s="27" t="s">
        <v>2425</v>
      </c>
      <c r="G398" s="27" t="s">
        <v>2426</v>
      </c>
      <c r="H398" s="9" t="s">
        <v>30</v>
      </c>
      <c r="I398" s="27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</row>
    <row r="399" spans="1:27">
      <c r="A399" s="27"/>
      <c r="B399" s="27">
        <v>4</v>
      </c>
      <c r="C399" s="27" t="s">
        <v>1495</v>
      </c>
      <c r="D399" s="31" t="s">
        <v>2427</v>
      </c>
      <c r="E399" s="27" t="s">
        <v>1528</v>
      </c>
      <c r="F399" s="27" t="s">
        <v>2428</v>
      </c>
      <c r="G399" s="27" t="s">
        <v>2429</v>
      </c>
      <c r="H399" s="9" t="s">
        <v>30</v>
      </c>
      <c r="I399" s="27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</row>
    <row r="400" spans="1:27">
      <c r="A400" s="27"/>
      <c r="B400" s="27">
        <v>7</v>
      </c>
      <c r="C400" s="27" t="s">
        <v>1439</v>
      </c>
      <c r="D400" s="31" t="s">
        <v>2430</v>
      </c>
      <c r="E400" s="27" t="s">
        <v>74</v>
      </c>
      <c r="F400" s="27" t="s">
        <v>2431</v>
      </c>
      <c r="G400" s="27" t="s">
        <v>2432</v>
      </c>
      <c r="H400" s="9" t="s">
        <v>30</v>
      </c>
      <c r="I400" s="27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</row>
    <row r="401" spans="1:27">
      <c r="A401" s="27"/>
      <c r="B401" s="27">
        <v>16</v>
      </c>
      <c r="C401" s="27" t="s">
        <v>1459</v>
      </c>
      <c r="D401" s="31" t="s">
        <v>1146</v>
      </c>
      <c r="E401" s="27"/>
      <c r="F401" s="27" t="s">
        <v>1147</v>
      </c>
      <c r="G401" s="27" t="s">
        <v>2433</v>
      </c>
      <c r="H401" s="9" t="s">
        <v>21</v>
      </c>
      <c r="I401" s="27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</row>
    <row r="402" spans="1:27">
      <c r="A402" s="27"/>
      <c r="B402" s="27">
        <v>14</v>
      </c>
      <c r="C402" s="27" t="s">
        <v>1455</v>
      </c>
      <c r="D402" s="31" t="s">
        <v>2434</v>
      </c>
      <c r="E402" s="27" t="s">
        <v>2435</v>
      </c>
      <c r="F402" s="27" t="s">
        <v>2436</v>
      </c>
      <c r="G402" s="27" t="s">
        <v>2437</v>
      </c>
      <c r="H402" s="9" t="s">
        <v>30</v>
      </c>
      <c r="I402" s="27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</row>
    <row r="403" spans="1:27">
      <c r="A403" s="27"/>
      <c r="B403" s="27">
        <v>4</v>
      </c>
      <c r="C403" s="27" t="s">
        <v>1495</v>
      </c>
      <c r="D403" s="31" t="s">
        <v>2438</v>
      </c>
      <c r="E403" s="27" t="s">
        <v>105</v>
      </c>
      <c r="F403" s="27" t="s">
        <v>2439</v>
      </c>
      <c r="G403" s="27" t="s">
        <v>2440</v>
      </c>
      <c r="H403" s="9" t="s">
        <v>107</v>
      </c>
      <c r="I403" s="27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</row>
    <row r="404" spans="1:27">
      <c r="A404" s="27"/>
      <c r="B404" s="27">
        <v>8</v>
      </c>
      <c r="C404" s="27" t="s">
        <v>1494</v>
      </c>
      <c r="D404" s="31" t="s">
        <v>2441</v>
      </c>
      <c r="E404" s="27" t="s">
        <v>23</v>
      </c>
      <c r="F404" s="27" t="s">
        <v>2442</v>
      </c>
      <c r="G404" s="27" t="s">
        <v>2443</v>
      </c>
      <c r="H404" s="9" t="s">
        <v>60</v>
      </c>
      <c r="I404" s="27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</row>
    <row r="405" spans="1:27">
      <c r="A405" s="27"/>
      <c r="B405" s="27">
        <v>6</v>
      </c>
      <c r="C405" s="27" t="s">
        <v>1443</v>
      </c>
      <c r="D405" s="31" t="s">
        <v>2444</v>
      </c>
      <c r="E405" s="27" t="s">
        <v>23</v>
      </c>
      <c r="F405" s="27" t="s">
        <v>2445</v>
      </c>
      <c r="G405" s="27" t="s">
        <v>2446</v>
      </c>
      <c r="H405" s="9" t="s">
        <v>60</v>
      </c>
      <c r="I405" s="27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</row>
    <row r="406" spans="1:27">
      <c r="A406" s="27"/>
      <c r="B406" s="27">
        <v>15</v>
      </c>
      <c r="C406" s="27" t="s">
        <v>1516</v>
      </c>
      <c r="D406" s="31" t="s">
        <v>2447</v>
      </c>
      <c r="E406" s="27" t="s">
        <v>23</v>
      </c>
      <c r="F406" s="27" t="s">
        <v>2448</v>
      </c>
      <c r="G406" s="27" t="s">
        <v>2449</v>
      </c>
      <c r="H406" s="9" t="s">
        <v>48</v>
      </c>
      <c r="I406" s="27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</row>
    <row r="407" spans="1:27">
      <c r="A407" s="27"/>
      <c r="B407" s="27">
        <v>4</v>
      </c>
      <c r="C407" s="27" t="s">
        <v>1495</v>
      </c>
      <c r="D407" s="31" t="s">
        <v>2450</v>
      </c>
      <c r="E407" s="27" t="s">
        <v>23</v>
      </c>
      <c r="F407" s="27" t="s">
        <v>2451</v>
      </c>
      <c r="G407" s="27" t="s">
        <v>2452</v>
      </c>
      <c r="H407" s="9" t="s">
        <v>60</v>
      </c>
      <c r="I407" s="27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</row>
    <row r="408" spans="1:27">
      <c r="A408" s="27"/>
      <c r="B408" s="27">
        <v>1</v>
      </c>
      <c r="C408" s="27" t="s">
        <v>1453</v>
      </c>
      <c r="D408" s="31" t="s">
        <v>2453</v>
      </c>
      <c r="E408" s="27" t="s">
        <v>12</v>
      </c>
      <c r="F408" s="27" t="s">
        <v>2454</v>
      </c>
      <c r="G408" s="27" t="s">
        <v>2455</v>
      </c>
      <c r="H408" s="9" t="s">
        <v>87</v>
      </c>
      <c r="I408" s="27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</row>
    <row r="409" spans="1:27">
      <c r="A409" s="27"/>
      <c r="B409" s="27">
        <v>10</v>
      </c>
      <c r="C409" s="27" t="s">
        <v>1485</v>
      </c>
      <c r="D409" s="31" t="s">
        <v>2456</v>
      </c>
      <c r="E409" s="27" t="s">
        <v>105</v>
      </c>
      <c r="F409" s="27" t="s">
        <v>2457</v>
      </c>
      <c r="G409" s="27" t="s">
        <v>2458</v>
      </c>
      <c r="H409" s="9" t="s">
        <v>15</v>
      </c>
      <c r="I409" s="27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</row>
    <row r="410" spans="1:27">
      <c r="A410" s="27"/>
      <c r="B410" s="27">
        <v>13</v>
      </c>
      <c r="C410" s="27" t="s">
        <v>1468</v>
      </c>
      <c r="D410" s="31" t="s">
        <v>2459</v>
      </c>
      <c r="E410" s="27" t="s">
        <v>74</v>
      </c>
      <c r="F410" s="27" t="s">
        <v>2460</v>
      </c>
      <c r="G410" s="27" t="s">
        <v>2461</v>
      </c>
      <c r="H410" s="9" t="s">
        <v>30</v>
      </c>
      <c r="I410" s="27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</row>
    <row r="411" spans="1:27">
      <c r="A411" s="27"/>
      <c r="B411" s="27">
        <v>4</v>
      </c>
      <c r="C411" s="27" t="s">
        <v>1495</v>
      </c>
      <c r="D411" s="31" t="s">
        <v>2462</v>
      </c>
      <c r="E411" s="27" t="s">
        <v>74</v>
      </c>
      <c r="F411" s="27" t="s">
        <v>2463</v>
      </c>
      <c r="G411" s="27" t="s">
        <v>2464</v>
      </c>
      <c r="H411" s="9" t="s">
        <v>30</v>
      </c>
      <c r="I411" s="27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</row>
    <row r="412" spans="1:27">
      <c r="A412" s="27"/>
      <c r="B412" s="27">
        <v>5</v>
      </c>
      <c r="C412" s="27" t="s">
        <v>1487</v>
      </c>
      <c r="D412" s="31" t="s">
        <v>2465</v>
      </c>
      <c r="E412" s="27" t="s">
        <v>23</v>
      </c>
      <c r="F412" s="27" t="s">
        <v>2466</v>
      </c>
      <c r="G412" s="27" t="s">
        <v>2467</v>
      </c>
      <c r="H412" s="9" t="s">
        <v>87</v>
      </c>
      <c r="I412" s="27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</row>
    <row r="413" spans="1:27">
      <c r="A413" s="27"/>
      <c r="B413" s="27">
        <v>3</v>
      </c>
      <c r="C413" s="27" t="s">
        <v>1457</v>
      </c>
      <c r="D413" s="31" t="s">
        <v>2468</v>
      </c>
      <c r="E413" s="27" t="s">
        <v>23</v>
      </c>
      <c r="F413" s="27" t="s">
        <v>2469</v>
      </c>
      <c r="G413" s="27" t="s">
        <v>2470</v>
      </c>
      <c r="H413" s="9" t="s">
        <v>90</v>
      </c>
      <c r="I413" s="27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</row>
    <row r="414" spans="1:27">
      <c r="A414" s="27"/>
      <c r="B414" s="27">
        <v>2</v>
      </c>
      <c r="C414" s="27" t="s">
        <v>1511</v>
      </c>
      <c r="D414" s="31" t="s">
        <v>2471</v>
      </c>
      <c r="E414" s="27" t="s">
        <v>23</v>
      </c>
      <c r="F414" s="27" t="s">
        <v>2472</v>
      </c>
      <c r="G414" s="27" t="s">
        <v>2473</v>
      </c>
      <c r="H414" s="9" t="s">
        <v>87</v>
      </c>
      <c r="I414" s="27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</row>
    <row r="415" spans="1:27">
      <c r="A415" s="27"/>
      <c r="B415" s="27">
        <v>1</v>
      </c>
      <c r="C415" s="27" t="s">
        <v>1453</v>
      </c>
      <c r="D415" s="31" t="s">
        <v>2474</v>
      </c>
      <c r="E415" s="27" t="s">
        <v>12</v>
      </c>
      <c r="F415" s="27" t="s">
        <v>2475</v>
      </c>
      <c r="G415" s="27" t="s">
        <v>2476</v>
      </c>
      <c r="H415" s="9" t="s">
        <v>87</v>
      </c>
      <c r="I415" s="27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</row>
    <row r="416" spans="1:27">
      <c r="A416" s="27"/>
      <c r="B416" s="27">
        <v>9</v>
      </c>
      <c r="C416" s="27" t="s">
        <v>1802</v>
      </c>
      <c r="D416" s="31" t="s">
        <v>2477</v>
      </c>
      <c r="E416" s="27" t="s">
        <v>451</v>
      </c>
      <c r="F416" s="27" t="s">
        <v>2478</v>
      </c>
      <c r="G416" s="27" t="s">
        <v>2479</v>
      </c>
      <c r="H416" s="9" t="s">
        <v>48</v>
      </c>
      <c r="I416" s="27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</row>
    <row r="417" spans="1:27">
      <c r="A417" s="27"/>
      <c r="B417" s="27">
        <v>2</v>
      </c>
      <c r="C417" s="27" t="s">
        <v>1511</v>
      </c>
      <c r="D417" s="31" t="s">
        <v>2480</v>
      </c>
      <c r="E417" s="27" t="s">
        <v>12</v>
      </c>
      <c r="F417" s="27" t="s">
        <v>2481</v>
      </c>
      <c r="G417" s="27" t="s">
        <v>2482</v>
      </c>
      <c r="H417" s="9" t="s">
        <v>87</v>
      </c>
      <c r="I417" s="27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</row>
    <row r="418" spans="1:27">
      <c r="A418" s="27"/>
      <c r="B418" s="27">
        <v>5</v>
      </c>
      <c r="C418" s="27" t="s">
        <v>1487</v>
      </c>
      <c r="D418" s="31" t="s">
        <v>2483</v>
      </c>
      <c r="E418" s="27" t="s">
        <v>23</v>
      </c>
      <c r="F418" s="27" t="s">
        <v>2484</v>
      </c>
      <c r="G418" s="27" t="s">
        <v>2485</v>
      </c>
      <c r="H418" s="9" t="s">
        <v>115</v>
      </c>
      <c r="I418" s="27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</row>
    <row r="419" spans="1:27">
      <c r="A419" s="27"/>
      <c r="B419" s="27">
        <v>11</v>
      </c>
      <c r="C419" s="27" t="s">
        <v>1450</v>
      </c>
      <c r="D419" s="31" t="s">
        <v>2486</v>
      </c>
      <c r="E419" s="27" t="s">
        <v>23</v>
      </c>
      <c r="F419" s="27" t="s">
        <v>2487</v>
      </c>
      <c r="G419" s="27" t="s">
        <v>2488</v>
      </c>
      <c r="H419" s="9" t="s">
        <v>48</v>
      </c>
      <c r="I419" s="27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</row>
    <row r="420" spans="1:27">
      <c r="A420" s="27"/>
      <c r="B420" s="27">
        <v>15</v>
      </c>
      <c r="C420" s="27" t="s">
        <v>1516</v>
      </c>
      <c r="D420" s="31" t="s">
        <v>2489</v>
      </c>
      <c r="E420" s="27" t="s">
        <v>23</v>
      </c>
      <c r="F420" s="27" t="s">
        <v>2490</v>
      </c>
      <c r="G420" s="27" t="s">
        <v>2491</v>
      </c>
      <c r="H420" s="9" t="s">
        <v>7</v>
      </c>
      <c r="I420" s="27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</row>
    <row r="421" spans="1:27">
      <c r="A421" s="27"/>
      <c r="B421" s="27">
        <v>15</v>
      </c>
      <c r="C421" s="27" t="s">
        <v>1516</v>
      </c>
      <c r="D421" s="31" t="s">
        <v>2492</v>
      </c>
      <c r="E421" s="27" t="s">
        <v>23</v>
      </c>
      <c r="F421" s="27" t="s">
        <v>2493</v>
      </c>
      <c r="G421" s="27" t="s">
        <v>2494</v>
      </c>
      <c r="H421" s="9" t="s">
        <v>87</v>
      </c>
      <c r="I421" s="27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</row>
    <row r="422" spans="1:27">
      <c r="A422" s="27"/>
      <c r="B422" s="27">
        <v>17</v>
      </c>
      <c r="C422" s="27" t="s">
        <v>1500</v>
      </c>
      <c r="D422" s="31" t="s">
        <v>2495</v>
      </c>
      <c r="E422" s="27" t="s">
        <v>1103</v>
      </c>
      <c r="F422" s="27" t="s">
        <v>2496</v>
      </c>
      <c r="G422" s="27" t="s">
        <v>2497</v>
      </c>
      <c r="H422" s="9" t="s">
        <v>30</v>
      </c>
      <c r="I422" s="27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</row>
    <row r="423" spans="1:27">
      <c r="A423" s="27"/>
      <c r="B423" s="27">
        <v>15</v>
      </c>
      <c r="C423" s="27" t="s">
        <v>1516</v>
      </c>
      <c r="D423" s="31" t="s">
        <v>2498</v>
      </c>
      <c r="E423" s="27" t="s">
        <v>105</v>
      </c>
      <c r="F423" s="27" t="s">
        <v>2499</v>
      </c>
      <c r="G423" s="27" t="s">
        <v>2500</v>
      </c>
      <c r="H423" s="9" t="s">
        <v>107</v>
      </c>
      <c r="I423" s="27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</row>
    <row r="424" spans="1:27">
      <c r="A424" s="27"/>
      <c r="B424" s="27">
        <v>14</v>
      </c>
      <c r="C424" s="27" t="s">
        <v>1455</v>
      </c>
      <c r="D424" s="31" t="s">
        <v>650</v>
      </c>
      <c r="E424" s="27" t="s">
        <v>23</v>
      </c>
      <c r="F424" s="27" t="s">
        <v>651</v>
      </c>
      <c r="G424" s="27" t="s">
        <v>2501</v>
      </c>
      <c r="H424" s="9" t="s">
        <v>21</v>
      </c>
      <c r="I424" s="27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</row>
    <row r="425" spans="1:27">
      <c r="A425" s="27"/>
      <c r="B425" s="27">
        <v>17</v>
      </c>
      <c r="C425" s="27" t="s">
        <v>1500</v>
      </c>
      <c r="D425" s="31" t="s">
        <v>2502</v>
      </c>
      <c r="E425" s="27" t="s">
        <v>105</v>
      </c>
      <c r="F425" s="27" t="s">
        <v>2503</v>
      </c>
      <c r="G425" s="27" t="s">
        <v>2504</v>
      </c>
      <c r="H425" s="9" t="s">
        <v>107</v>
      </c>
      <c r="I425" s="27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</row>
    <row r="426" spans="1:27">
      <c r="A426" s="27"/>
      <c r="B426" s="27">
        <v>2</v>
      </c>
      <c r="C426" s="27" t="s">
        <v>1511</v>
      </c>
      <c r="D426" s="31" t="s">
        <v>2505</v>
      </c>
      <c r="E426" s="27" t="s">
        <v>74</v>
      </c>
      <c r="F426" s="27" t="s">
        <v>1171</v>
      </c>
      <c r="G426" s="27" t="s">
        <v>2506</v>
      </c>
      <c r="H426" s="9" t="s">
        <v>30</v>
      </c>
      <c r="I426" s="27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</row>
    <row r="427" spans="1:27">
      <c r="A427" s="27"/>
      <c r="B427" s="27">
        <v>8</v>
      </c>
      <c r="C427" s="27" t="s">
        <v>1494</v>
      </c>
      <c r="D427" s="31" t="s">
        <v>2507</v>
      </c>
      <c r="E427" s="27" t="s">
        <v>23</v>
      </c>
      <c r="F427" s="27" t="s">
        <v>2508</v>
      </c>
      <c r="G427" s="27" t="s">
        <v>2509</v>
      </c>
      <c r="H427" s="9" t="s">
        <v>2510</v>
      </c>
      <c r="I427" s="27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</row>
    <row r="428" spans="1:27">
      <c r="A428" s="27"/>
      <c r="B428" s="27">
        <v>12</v>
      </c>
      <c r="C428" s="27" t="s">
        <v>1446</v>
      </c>
      <c r="D428" s="31" t="s">
        <v>2511</v>
      </c>
      <c r="E428" s="27" t="s">
        <v>23</v>
      </c>
      <c r="F428" s="27" t="s">
        <v>2512</v>
      </c>
      <c r="G428" s="27" t="s">
        <v>2513</v>
      </c>
      <c r="H428" s="9" t="s">
        <v>87</v>
      </c>
      <c r="I428" s="27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</row>
    <row r="429" spans="1:27">
      <c r="A429" s="27"/>
      <c r="B429" s="27">
        <v>10</v>
      </c>
      <c r="C429" s="27" t="s">
        <v>1485</v>
      </c>
      <c r="D429" s="31" t="s">
        <v>2514</v>
      </c>
      <c r="E429" s="27" t="s">
        <v>12</v>
      </c>
      <c r="F429" s="27" t="s">
        <v>2515</v>
      </c>
      <c r="G429" s="27" t="s">
        <v>2516</v>
      </c>
      <c r="H429" s="9" t="s">
        <v>60</v>
      </c>
      <c r="I429" s="27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</row>
    <row r="430" spans="1:27">
      <c r="A430" s="27"/>
      <c r="B430" s="27">
        <v>15</v>
      </c>
      <c r="C430" s="27" t="s">
        <v>1516</v>
      </c>
      <c r="D430" s="31" t="s">
        <v>2517</v>
      </c>
      <c r="E430" s="27" t="s">
        <v>12</v>
      </c>
      <c r="F430" s="27" t="s">
        <v>2518</v>
      </c>
      <c r="G430" s="27" t="s">
        <v>2519</v>
      </c>
      <c r="H430" s="9" t="s">
        <v>87</v>
      </c>
      <c r="I430" s="27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</row>
    <row r="431" spans="1:27">
      <c r="A431" s="27"/>
      <c r="B431" s="27">
        <v>2</v>
      </c>
      <c r="C431" s="27" t="s">
        <v>1511</v>
      </c>
      <c r="D431" s="31" t="s">
        <v>2520</v>
      </c>
      <c r="E431" s="27" t="s">
        <v>23</v>
      </c>
      <c r="F431" s="27" t="s">
        <v>655</v>
      </c>
      <c r="G431" s="27" t="s">
        <v>2521</v>
      </c>
      <c r="H431" s="9" t="s">
        <v>115</v>
      </c>
      <c r="I431" s="27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</row>
    <row r="432" spans="1:27">
      <c r="A432" s="27"/>
      <c r="B432" s="27">
        <v>11</v>
      </c>
      <c r="C432" s="27" t="s">
        <v>1450</v>
      </c>
      <c r="D432" s="31" t="s">
        <v>2522</v>
      </c>
      <c r="E432" s="27" t="s">
        <v>12</v>
      </c>
      <c r="F432" s="27" t="s">
        <v>2523</v>
      </c>
      <c r="G432" s="27" t="s">
        <v>2524</v>
      </c>
      <c r="H432" s="9" t="s">
        <v>87</v>
      </c>
      <c r="I432" s="27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</row>
    <row r="433" spans="1:27">
      <c r="A433" s="27"/>
      <c r="B433" s="27">
        <v>4</v>
      </c>
      <c r="C433" s="27" t="s">
        <v>1495</v>
      </c>
      <c r="D433" s="31" t="s">
        <v>2525</v>
      </c>
      <c r="E433" s="27" t="s">
        <v>23</v>
      </c>
      <c r="F433" s="27" t="s">
        <v>2526</v>
      </c>
      <c r="G433" s="27" t="s">
        <v>2527</v>
      </c>
      <c r="H433" s="9" t="s">
        <v>87</v>
      </c>
      <c r="I433" s="27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</row>
    <row r="434" spans="1:27">
      <c r="A434" s="27"/>
      <c r="B434" s="27">
        <v>6</v>
      </c>
      <c r="C434" s="27" t="s">
        <v>1443</v>
      </c>
      <c r="D434" s="31" t="s">
        <v>2528</v>
      </c>
      <c r="E434" s="27" t="s">
        <v>74</v>
      </c>
      <c r="F434" s="27" t="s">
        <v>658</v>
      </c>
      <c r="G434" s="27" t="s">
        <v>2529</v>
      </c>
      <c r="H434" s="9" t="s">
        <v>30</v>
      </c>
      <c r="I434" s="27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</row>
    <row r="435" spans="1:27">
      <c r="A435" s="27"/>
      <c r="B435" s="27">
        <v>9</v>
      </c>
      <c r="C435" s="27" t="s">
        <v>1802</v>
      </c>
      <c r="D435" s="31" t="s">
        <v>2530</v>
      </c>
      <c r="E435" s="27" t="s">
        <v>23</v>
      </c>
      <c r="F435" s="27" t="s">
        <v>2531</v>
      </c>
      <c r="G435" s="27" t="s">
        <v>2532</v>
      </c>
      <c r="H435" s="9" t="s">
        <v>87</v>
      </c>
      <c r="I435" s="27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</row>
    <row r="436" spans="1:27">
      <c r="A436" s="27"/>
      <c r="B436" s="27">
        <v>9</v>
      </c>
      <c r="C436" s="27" t="s">
        <v>1802</v>
      </c>
      <c r="D436" s="31" t="s">
        <v>2533</v>
      </c>
      <c r="E436" s="27" t="s">
        <v>23</v>
      </c>
      <c r="F436" s="27" t="s">
        <v>2534</v>
      </c>
      <c r="G436" s="27" t="s">
        <v>2535</v>
      </c>
      <c r="H436" s="9" t="s">
        <v>48</v>
      </c>
      <c r="I436" s="27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</row>
    <row r="437" spans="1:27">
      <c r="A437" s="27"/>
      <c r="B437" s="27">
        <v>3</v>
      </c>
      <c r="C437" s="27" t="s">
        <v>1457</v>
      </c>
      <c r="D437" s="31" t="s">
        <v>2536</v>
      </c>
      <c r="E437" s="27" t="s">
        <v>109</v>
      </c>
      <c r="F437" s="27" t="s">
        <v>2537</v>
      </c>
      <c r="G437" s="27" t="s">
        <v>2538</v>
      </c>
      <c r="H437" s="9" t="s">
        <v>30</v>
      </c>
      <c r="I437" s="27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</row>
    <row r="438" spans="1:27">
      <c r="A438" s="27"/>
      <c r="B438" s="27">
        <v>16</v>
      </c>
      <c r="C438" s="27" t="s">
        <v>1459</v>
      </c>
      <c r="D438" s="31" t="s">
        <v>2539</v>
      </c>
      <c r="E438" s="27" t="s">
        <v>105</v>
      </c>
      <c r="F438" s="27" t="s">
        <v>2540</v>
      </c>
      <c r="G438" s="27" t="s">
        <v>2541</v>
      </c>
      <c r="H438" s="9" t="s">
        <v>107</v>
      </c>
      <c r="I438" s="27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</row>
    <row r="439" spans="1:27">
      <c r="A439" s="27"/>
      <c r="B439" s="27">
        <v>14</v>
      </c>
      <c r="C439" s="27" t="s">
        <v>1455</v>
      </c>
      <c r="D439" s="31" t="s">
        <v>2542</v>
      </c>
      <c r="E439" s="27"/>
      <c r="F439" s="27" t="s">
        <v>2543</v>
      </c>
      <c r="G439" s="27" t="s">
        <v>2544</v>
      </c>
      <c r="H439" s="9" t="s">
        <v>87</v>
      </c>
      <c r="I439" s="27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</row>
    <row r="440" spans="1:27">
      <c r="A440" s="27"/>
      <c r="B440" s="27">
        <v>18</v>
      </c>
      <c r="C440" s="27" t="s">
        <v>1435</v>
      </c>
      <c r="D440" s="31" t="s">
        <v>2545</v>
      </c>
      <c r="E440" s="27" t="s">
        <v>109</v>
      </c>
      <c r="F440" s="27" t="s">
        <v>2546</v>
      </c>
      <c r="G440" s="27" t="s">
        <v>2547</v>
      </c>
      <c r="H440" s="9" t="s">
        <v>30</v>
      </c>
      <c r="I440" s="27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</row>
    <row r="441" spans="1:27">
      <c r="A441" s="27"/>
      <c r="B441" s="27">
        <v>1</v>
      </c>
      <c r="C441" s="27" t="s">
        <v>1453</v>
      </c>
      <c r="D441" s="31" t="s">
        <v>1182</v>
      </c>
      <c r="E441" s="27" t="s">
        <v>12</v>
      </c>
      <c r="F441" s="27" t="s">
        <v>1183</v>
      </c>
      <c r="G441" s="27" t="s">
        <v>2548</v>
      </c>
      <c r="H441" s="9" t="s">
        <v>87</v>
      </c>
      <c r="I441" s="27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</row>
    <row r="442" spans="1:27">
      <c r="A442" s="27"/>
      <c r="B442" s="27" t="s">
        <v>2549</v>
      </c>
      <c r="C442" s="27" t="s">
        <v>1511</v>
      </c>
      <c r="D442" s="31" t="s">
        <v>2550</v>
      </c>
      <c r="E442" s="27" t="s">
        <v>45</v>
      </c>
      <c r="F442" s="27" t="s">
        <v>2551</v>
      </c>
      <c r="G442" s="27" t="s">
        <v>2552</v>
      </c>
      <c r="H442" s="9" t="s">
        <v>30</v>
      </c>
      <c r="I442" s="27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</row>
    <row r="443" spans="1:27">
      <c r="A443" s="27"/>
      <c r="B443" s="27">
        <v>1</v>
      </c>
      <c r="C443" s="27" t="s">
        <v>1453</v>
      </c>
      <c r="D443" s="31" t="s">
        <v>784</v>
      </c>
      <c r="E443" s="27" t="s">
        <v>12</v>
      </c>
      <c r="F443" s="27" t="s">
        <v>2553</v>
      </c>
      <c r="G443" s="27" t="s">
        <v>2554</v>
      </c>
      <c r="H443" s="9" t="s">
        <v>107</v>
      </c>
      <c r="I443" s="27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</row>
    <row r="444" spans="1:27">
      <c r="A444" s="27"/>
      <c r="B444" s="27">
        <v>1</v>
      </c>
      <c r="C444" s="27" t="s">
        <v>1453</v>
      </c>
      <c r="D444" s="31" t="s">
        <v>2555</v>
      </c>
      <c r="E444" s="27" t="s">
        <v>105</v>
      </c>
      <c r="F444" s="27" t="s">
        <v>2556</v>
      </c>
      <c r="G444" s="27" t="s">
        <v>2557</v>
      </c>
      <c r="H444" s="9" t="s">
        <v>15</v>
      </c>
      <c r="I444" s="27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</row>
    <row r="445" spans="1:27">
      <c r="A445" s="27"/>
      <c r="B445" s="27">
        <v>5</v>
      </c>
      <c r="C445" s="27" t="s">
        <v>1487</v>
      </c>
      <c r="D445" s="31" t="s">
        <v>2558</v>
      </c>
      <c r="E445" s="27" t="s">
        <v>12</v>
      </c>
      <c r="F445" s="27" t="s">
        <v>2559</v>
      </c>
      <c r="G445" s="27" t="s">
        <v>2560</v>
      </c>
      <c r="H445" s="9" t="s">
        <v>48</v>
      </c>
      <c r="I445" s="27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</row>
    <row r="446" spans="1:27">
      <c r="A446" s="27"/>
      <c r="B446" s="27">
        <v>16</v>
      </c>
      <c r="C446" s="27" t="s">
        <v>1459</v>
      </c>
      <c r="D446" s="31" t="s">
        <v>2561</v>
      </c>
      <c r="E446" s="27" t="s">
        <v>12</v>
      </c>
      <c r="F446" s="27" t="s">
        <v>2562</v>
      </c>
      <c r="G446" s="27" t="s">
        <v>2563</v>
      </c>
      <c r="H446" s="9" t="s">
        <v>87</v>
      </c>
      <c r="I446" s="27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</row>
    <row r="447" spans="1:27">
      <c r="A447" s="27"/>
      <c r="B447" s="27">
        <v>1</v>
      </c>
      <c r="C447" s="27" t="s">
        <v>1453</v>
      </c>
      <c r="D447" s="31" t="s">
        <v>2564</v>
      </c>
      <c r="E447" s="27" t="s">
        <v>23</v>
      </c>
      <c r="F447" s="27" t="s">
        <v>2565</v>
      </c>
      <c r="G447" s="27" t="s">
        <v>2566</v>
      </c>
      <c r="H447" s="9" t="s">
        <v>48</v>
      </c>
      <c r="I447" s="27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</row>
    <row r="448" spans="1:27">
      <c r="A448" s="27"/>
      <c r="B448" s="27">
        <v>5</v>
      </c>
      <c r="C448" s="27" t="s">
        <v>1487</v>
      </c>
      <c r="D448" s="31" t="s">
        <v>2567</v>
      </c>
      <c r="E448" s="27" t="s">
        <v>12</v>
      </c>
      <c r="F448" s="27" t="s">
        <v>2568</v>
      </c>
      <c r="G448" s="27" t="s">
        <v>2100</v>
      </c>
      <c r="H448" s="9" t="s">
        <v>48</v>
      </c>
      <c r="I448" s="27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</row>
    <row r="449" spans="1:27">
      <c r="A449" s="27"/>
      <c r="B449" s="27">
        <v>17</v>
      </c>
      <c r="C449" s="27" t="s">
        <v>1500</v>
      </c>
      <c r="D449" s="31" t="s">
        <v>2569</v>
      </c>
      <c r="E449" s="27" t="s">
        <v>105</v>
      </c>
      <c r="F449" s="27" t="s">
        <v>2570</v>
      </c>
      <c r="G449" s="27" t="s">
        <v>2571</v>
      </c>
      <c r="H449" s="30" t="s">
        <v>15</v>
      </c>
      <c r="I449" s="27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</row>
    <row r="450" spans="1:27">
      <c r="A450" s="27"/>
      <c r="B450" s="27">
        <v>13</v>
      </c>
      <c r="C450" s="27" t="s">
        <v>1468</v>
      </c>
      <c r="D450" s="31" t="s">
        <v>2572</v>
      </c>
      <c r="E450" s="27" t="s">
        <v>12</v>
      </c>
      <c r="F450" s="27" t="s">
        <v>2573</v>
      </c>
      <c r="G450" s="27" t="s">
        <v>2574</v>
      </c>
      <c r="H450" s="9" t="s">
        <v>34</v>
      </c>
      <c r="I450" s="27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</row>
    <row r="451" spans="1:27">
      <c r="A451" s="27"/>
      <c r="B451" s="27">
        <v>2</v>
      </c>
      <c r="C451" s="27" t="s">
        <v>1511</v>
      </c>
      <c r="D451" s="31" t="s">
        <v>709</v>
      </c>
      <c r="E451" s="27" t="s">
        <v>74</v>
      </c>
      <c r="F451" s="27" t="s">
        <v>2575</v>
      </c>
      <c r="G451" s="27" t="s">
        <v>2576</v>
      </c>
      <c r="H451" s="9" t="s">
        <v>30</v>
      </c>
      <c r="I451" s="27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</row>
    <row r="452" spans="1:27">
      <c r="A452" s="27"/>
      <c r="B452" s="27">
        <v>11</v>
      </c>
      <c r="C452" s="27" t="s">
        <v>1450</v>
      </c>
      <c r="D452" s="31" t="s">
        <v>2577</v>
      </c>
      <c r="E452" s="27"/>
      <c r="F452" s="27" t="s">
        <v>2578</v>
      </c>
      <c r="G452" s="27" t="s">
        <v>2579</v>
      </c>
      <c r="H452" s="9" t="s">
        <v>87</v>
      </c>
      <c r="I452" s="27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</row>
    <row r="453" spans="1:27">
      <c r="A453" s="27"/>
      <c r="B453" s="27">
        <v>9</v>
      </c>
      <c r="C453" s="27" t="s">
        <v>1802</v>
      </c>
      <c r="D453" s="31" t="s">
        <v>2580</v>
      </c>
      <c r="E453" s="27" t="s">
        <v>1967</v>
      </c>
      <c r="F453" s="27" t="s">
        <v>2581</v>
      </c>
      <c r="G453" s="27" t="s">
        <v>2582</v>
      </c>
      <c r="H453" s="9" t="s">
        <v>30</v>
      </c>
      <c r="I453" s="27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</row>
    <row r="454" spans="1:27">
      <c r="A454" s="27"/>
      <c r="B454" s="27">
        <v>18</v>
      </c>
      <c r="C454" s="27" t="s">
        <v>1435</v>
      </c>
      <c r="D454" s="31" t="s">
        <v>2583</v>
      </c>
      <c r="E454" s="27" t="s">
        <v>819</v>
      </c>
      <c r="F454" s="27" t="s">
        <v>2584</v>
      </c>
      <c r="G454" s="27" t="s">
        <v>2585</v>
      </c>
      <c r="H454" s="9" t="s">
        <v>30</v>
      </c>
      <c r="I454" s="27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</row>
    <row r="455" spans="1:27">
      <c r="A455" s="27"/>
      <c r="B455" s="27">
        <v>17</v>
      </c>
      <c r="C455" s="27" t="s">
        <v>1500</v>
      </c>
      <c r="D455" s="31" t="s">
        <v>2586</v>
      </c>
      <c r="E455" s="27" t="s">
        <v>819</v>
      </c>
      <c r="F455" s="27" t="s">
        <v>2587</v>
      </c>
      <c r="G455" s="27" t="s">
        <v>2588</v>
      </c>
      <c r="H455" s="9" t="s">
        <v>30</v>
      </c>
      <c r="I455" s="27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</row>
    <row r="456" spans="1:27">
      <c r="A456" s="27"/>
      <c r="B456" s="27">
        <v>3</v>
      </c>
      <c r="C456" s="27" t="s">
        <v>1457</v>
      </c>
      <c r="D456" s="31" t="s">
        <v>2589</v>
      </c>
      <c r="E456" s="27" t="s">
        <v>23</v>
      </c>
      <c r="F456" s="27" t="s">
        <v>2575</v>
      </c>
      <c r="G456" s="27" t="s">
        <v>2590</v>
      </c>
      <c r="H456" s="9" t="s">
        <v>48</v>
      </c>
      <c r="I456" s="27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</row>
    <row r="457" spans="1:27">
      <c r="A457" s="27"/>
      <c r="B457" s="27">
        <v>1</v>
      </c>
      <c r="C457" s="27" t="s">
        <v>1453</v>
      </c>
      <c r="D457" s="31" t="s">
        <v>2591</v>
      </c>
      <c r="E457" s="27" t="s">
        <v>23</v>
      </c>
      <c r="F457" s="27" t="s">
        <v>2592</v>
      </c>
      <c r="G457" s="27" t="s">
        <v>2593</v>
      </c>
      <c r="H457" s="9" t="s">
        <v>60</v>
      </c>
      <c r="I457" s="27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</row>
    <row r="458" spans="1:27">
      <c r="A458" s="27"/>
      <c r="B458" s="27">
        <v>5</v>
      </c>
      <c r="C458" s="27" t="s">
        <v>1487</v>
      </c>
      <c r="D458" s="31" t="s">
        <v>2594</v>
      </c>
      <c r="E458" s="27" t="s">
        <v>74</v>
      </c>
      <c r="F458" s="27" t="s">
        <v>2595</v>
      </c>
      <c r="G458" s="27" t="s">
        <v>2596</v>
      </c>
      <c r="H458" s="9" t="s">
        <v>30</v>
      </c>
      <c r="I458" s="27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</row>
    <row r="459" spans="1:27">
      <c r="A459" s="27"/>
      <c r="B459" s="27">
        <v>8</v>
      </c>
      <c r="C459" s="27" t="s">
        <v>1494</v>
      </c>
      <c r="D459" s="31" t="s">
        <v>2597</v>
      </c>
      <c r="E459" s="27" t="s">
        <v>54</v>
      </c>
      <c r="F459" s="27" t="s">
        <v>2598</v>
      </c>
      <c r="G459" s="27" t="s">
        <v>2599</v>
      </c>
      <c r="H459" s="9" t="s">
        <v>30</v>
      </c>
      <c r="I459" s="27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</row>
    <row r="460" spans="1:27">
      <c r="A460" s="27"/>
      <c r="B460" s="27">
        <v>1</v>
      </c>
      <c r="C460" s="27" t="s">
        <v>1453</v>
      </c>
      <c r="D460" s="31" t="s">
        <v>2600</v>
      </c>
      <c r="E460" s="27" t="s">
        <v>105</v>
      </c>
      <c r="F460" s="27" t="s">
        <v>2601</v>
      </c>
      <c r="G460" s="27" t="s">
        <v>2602</v>
      </c>
      <c r="H460" s="9" t="s">
        <v>15</v>
      </c>
      <c r="I460" s="27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</row>
    <row r="461" spans="1:27">
      <c r="A461" s="27"/>
      <c r="B461" s="27">
        <v>16</v>
      </c>
      <c r="C461" s="27" t="s">
        <v>1459</v>
      </c>
      <c r="D461" s="31" t="s">
        <v>2603</v>
      </c>
      <c r="E461" s="27" t="s">
        <v>23</v>
      </c>
      <c r="F461" s="27" t="s">
        <v>2604</v>
      </c>
      <c r="G461" s="27" t="s">
        <v>2605</v>
      </c>
      <c r="H461" s="9" t="s">
        <v>34</v>
      </c>
      <c r="I461" s="27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</row>
    <row r="462" spans="1:27">
      <c r="A462" s="27"/>
      <c r="B462" s="27">
        <v>16</v>
      </c>
      <c r="C462" s="27" t="s">
        <v>1459</v>
      </c>
      <c r="D462" s="31" t="s">
        <v>2606</v>
      </c>
      <c r="E462" s="27" t="s">
        <v>23</v>
      </c>
      <c r="F462" s="27" t="s">
        <v>2607</v>
      </c>
      <c r="G462" s="27" t="s">
        <v>2608</v>
      </c>
      <c r="H462" s="9" t="s">
        <v>48</v>
      </c>
      <c r="I462" s="27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</row>
    <row r="463" spans="1:27">
      <c r="A463" s="27"/>
      <c r="B463" s="27">
        <v>9</v>
      </c>
      <c r="C463" s="27" t="s">
        <v>1802</v>
      </c>
      <c r="D463" s="31" t="s">
        <v>2609</v>
      </c>
      <c r="E463" s="27" t="s">
        <v>105</v>
      </c>
      <c r="F463" s="27" t="s">
        <v>2610</v>
      </c>
      <c r="G463" s="27" t="s">
        <v>2611</v>
      </c>
      <c r="H463" s="9" t="s">
        <v>107</v>
      </c>
      <c r="I463" s="27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</row>
    <row r="464" spans="1:27">
      <c r="A464" s="27"/>
      <c r="B464" s="27">
        <v>4</v>
      </c>
      <c r="C464" s="27" t="s">
        <v>1495</v>
      </c>
      <c r="D464" s="31" t="s">
        <v>2612</v>
      </c>
      <c r="E464" s="27" t="s">
        <v>23</v>
      </c>
      <c r="F464" s="27" t="s">
        <v>2613</v>
      </c>
      <c r="G464" s="27" t="s">
        <v>2614</v>
      </c>
      <c r="H464" s="9" t="s">
        <v>150</v>
      </c>
      <c r="I464" s="27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</row>
    <row r="465" spans="1:27">
      <c r="A465" s="27"/>
      <c r="B465" s="27">
        <v>8</v>
      </c>
      <c r="C465" s="27" t="s">
        <v>1494</v>
      </c>
      <c r="D465" s="31" t="s">
        <v>2615</v>
      </c>
      <c r="E465" s="27" t="s">
        <v>12</v>
      </c>
      <c r="F465" s="27" t="s">
        <v>2616</v>
      </c>
      <c r="G465" s="27" t="s">
        <v>2617</v>
      </c>
      <c r="H465" s="9" t="s">
        <v>48</v>
      </c>
      <c r="I465" s="27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</row>
    <row r="466" spans="1:27">
      <c r="A466" s="27"/>
      <c r="B466" s="27">
        <v>8</v>
      </c>
      <c r="C466" s="27" t="s">
        <v>1494</v>
      </c>
      <c r="D466" s="31" t="s">
        <v>2618</v>
      </c>
      <c r="E466" s="27" t="s">
        <v>12</v>
      </c>
      <c r="F466" s="27" t="s">
        <v>2619</v>
      </c>
      <c r="G466" s="27" t="s">
        <v>2620</v>
      </c>
      <c r="H466" s="9" t="s">
        <v>150</v>
      </c>
      <c r="I466" s="27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</row>
    <row r="467" spans="1:27">
      <c r="A467" s="27"/>
      <c r="B467" s="27">
        <v>7</v>
      </c>
      <c r="C467" s="27" t="s">
        <v>1439</v>
      </c>
      <c r="D467" s="31" t="s">
        <v>2621</v>
      </c>
      <c r="E467" s="27" t="s">
        <v>23</v>
      </c>
      <c r="F467" s="27" t="s">
        <v>2622</v>
      </c>
      <c r="G467" s="27" t="s">
        <v>2623</v>
      </c>
      <c r="H467" s="9" t="s">
        <v>94</v>
      </c>
      <c r="I467" s="27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</row>
    <row r="468" spans="1:27">
      <c r="A468" s="27"/>
      <c r="B468" s="27">
        <v>18</v>
      </c>
      <c r="C468" s="27" t="s">
        <v>1435</v>
      </c>
      <c r="D468" s="31" t="s">
        <v>2624</v>
      </c>
      <c r="E468" s="27" t="s">
        <v>74</v>
      </c>
      <c r="F468" s="27" t="s">
        <v>2625</v>
      </c>
      <c r="G468" s="27" t="s">
        <v>2626</v>
      </c>
      <c r="H468" s="9" t="s">
        <v>30</v>
      </c>
      <c r="I468" s="27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</row>
    <row r="469" spans="1:27">
      <c r="A469" s="27"/>
      <c r="B469" s="27">
        <v>5</v>
      </c>
      <c r="C469" s="27" t="s">
        <v>1487</v>
      </c>
      <c r="D469" s="31" t="s">
        <v>2627</v>
      </c>
      <c r="E469" s="27" t="s">
        <v>74</v>
      </c>
      <c r="F469" s="27" t="s">
        <v>2628</v>
      </c>
      <c r="G469" s="27" t="s">
        <v>2629</v>
      </c>
      <c r="H469" s="9" t="s">
        <v>30</v>
      </c>
      <c r="I469" s="27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</row>
    <row r="470" spans="1:27">
      <c r="A470" s="27"/>
      <c r="B470" s="27">
        <v>16</v>
      </c>
      <c r="C470" s="27" t="s">
        <v>1459</v>
      </c>
      <c r="D470" s="31" t="s">
        <v>2630</v>
      </c>
      <c r="E470" s="27" t="s">
        <v>23</v>
      </c>
      <c r="F470" s="27" t="s">
        <v>2631</v>
      </c>
      <c r="G470" s="27" t="s">
        <v>2632</v>
      </c>
      <c r="H470" s="30" t="s">
        <v>64</v>
      </c>
      <c r="I470" s="27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</row>
    <row r="471" spans="1:27">
      <c r="A471" s="27"/>
      <c r="B471" s="27">
        <v>14</v>
      </c>
      <c r="C471" s="27" t="s">
        <v>1455</v>
      </c>
      <c r="D471" s="31" t="s">
        <v>2633</v>
      </c>
      <c r="E471" s="27" t="s">
        <v>74</v>
      </c>
      <c r="F471" s="27" t="s">
        <v>2634</v>
      </c>
      <c r="G471" s="27" t="s">
        <v>2635</v>
      </c>
      <c r="H471" s="9" t="s">
        <v>30</v>
      </c>
      <c r="I471" s="27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</row>
    <row r="472" spans="1:27">
      <c r="A472" s="27"/>
      <c r="B472" s="27">
        <v>14</v>
      </c>
      <c r="C472" s="27" t="s">
        <v>1455</v>
      </c>
      <c r="D472" s="31" t="s">
        <v>2636</v>
      </c>
      <c r="E472" s="27" t="s">
        <v>23</v>
      </c>
      <c r="F472" s="27" t="s">
        <v>2637</v>
      </c>
      <c r="G472" s="27" t="s">
        <v>2596</v>
      </c>
      <c r="H472" s="9" t="s">
        <v>30</v>
      </c>
      <c r="I472" s="27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</row>
    <row r="473" spans="1:27">
      <c r="A473" s="27"/>
      <c r="B473" s="27">
        <v>8</v>
      </c>
      <c r="C473" s="27" t="s">
        <v>1494</v>
      </c>
      <c r="D473" s="31" t="s">
        <v>2638</v>
      </c>
      <c r="E473" s="27" t="s">
        <v>23</v>
      </c>
      <c r="F473" s="27" t="s">
        <v>2639</v>
      </c>
      <c r="G473" s="27" t="s">
        <v>2640</v>
      </c>
      <c r="H473" s="9" t="s">
        <v>30</v>
      </c>
      <c r="I473" s="27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</row>
    <row r="474" spans="1:27">
      <c r="A474" s="27"/>
      <c r="B474" s="27">
        <v>10</v>
      </c>
      <c r="C474" s="27" t="s">
        <v>1485</v>
      </c>
      <c r="D474" s="31" t="s">
        <v>2641</v>
      </c>
      <c r="E474" s="27" t="s">
        <v>23</v>
      </c>
      <c r="F474" s="27" t="s">
        <v>2642</v>
      </c>
      <c r="G474" s="27" t="s">
        <v>2643</v>
      </c>
      <c r="H474" s="9" t="s">
        <v>115</v>
      </c>
      <c r="I474" s="27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</row>
    <row r="475" spans="1:27">
      <c r="A475" s="27"/>
      <c r="B475" s="27">
        <v>13</v>
      </c>
      <c r="C475" s="27" t="s">
        <v>1468</v>
      </c>
      <c r="D475" s="31" t="s">
        <v>2644</v>
      </c>
      <c r="E475" s="27" t="s">
        <v>23</v>
      </c>
      <c r="F475" s="27" t="s">
        <v>2645</v>
      </c>
      <c r="G475" s="27" t="s">
        <v>2646</v>
      </c>
      <c r="H475" s="9" t="s">
        <v>87</v>
      </c>
      <c r="I475" s="27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</row>
    <row r="476" spans="1:27">
      <c r="A476" s="4"/>
      <c r="B476" s="27">
        <v>13</v>
      </c>
      <c r="C476" s="27" t="s">
        <v>1468</v>
      </c>
      <c r="D476" s="31" t="s">
        <v>2647</v>
      </c>
      <c r="E476" s="27" t="s">
        <v>12</v>
      </c>
      <c r="F476" s="27" t="s">
        <v>2648</v>
      </c>
      <c r="G476" s="27" t="s">
        <v>2649</v>
      </c>
      <c r="H476" s="9" t="s">
        <v>87</v>
      </c>
      <c r="I476" s="27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</row>
    <row r="477" spans="1:27">
      <c r="A477" s="4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</row>
    <row r="478" spans="1:27">
      <c r="A478" s="4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</row>
    <row r="479" spans="1:27">
      <c r="A479" s="4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</row>
    <row r="480" spans="1:27">
      <c r="A480" s="4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</row>
    <row r="481" spans="1:27">
      <c r="A481" s="4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</row>
    <row r="482" spans="1:27">
      <c r="A482" s="4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</row>
    <row r="483" spans="1:27">
      <c r="A483" s="4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</row>
    <row r="484" spans="1:27">
      <c r="A484" s="4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</row>
    <row r="485" spans="1:27">
      <c r="A485" s="4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</row>
    <row r="486" spans="1:27">
      <c r="A486" s="4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</row>
    <row r="487" spans="1:27">
      <c r="A487" s="4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</row>
    <row r="488" spans="1:27">
      <c r="A488" s="4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</row>
    <row r="489" spans="1:27">
      <c r="A489" s="4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</row>
    <row r="490" spans="1:27">
      <c r="A490" s="4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</row>
    <row r="491" spans="1:27">
      <c r="A491" s="4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</row>
    <row r="492" spans="1:27">
      <c r="A492" s="4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</row>
    <row r="493" spans="1:27">
      <c r="A493" s="4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</row>
    <row r="494" spans="1:27">
      <c r="A494" s="4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</row>
    <row r="495" spans="1:27">
      <c r="A495" s="4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</row>
    <row r="496" spans="1:27">
      <c r="A496" s="4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</row>
    <row r="497" spans="1:27">
      <c r="A497" s="4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</row>
    <row r="498" spans="1:27">
      <c r="A498" s="4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</row>
    <row r="499" spans="1:27">
      <c r="A499" s="4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</row>
    <row r="500" spans="1:27">
      <c r="A500" s="4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</row>
    <row r="501" spans="1:27">
      <c r="A501" s="4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</row>
    <row r="502" spans="1:27">
      <c r="A502" s="4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</row>
    <row r="503" spans="1:27">
      <c r="A503" s="4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</row>
    <row r="504" spans="1:27">
      <c r="A504" s="4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</row>
    <row r="505" spans="1:27">
      <c r="A505" s="4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</row>
    <row r="506" spans="1:27">
      <c r="A506" s="4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</row>
    <row r="507" spans="1:27">
      <c r="A507" s="4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</row>
    <row r="508" spans="1:27">
      <c r="A508" s="4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</row>
    <row r="509" spans="1:27">
      <c r="A509" s="4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</row>
    <row r="510" spans="1:27">
      <c r="A510" s="4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</row>
    <row r="511" spans="1:27">
      <c r="A511" s="4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</row>
    <row r="512" spans="1:27">
      <c r="A512" s="4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</row>
    <row r="513" spans="1:27">
      <c r="A513" s="4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</row>
    <row r="514" spans="1:27">
      <c r="A514" s="4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</row>
    <row r="515" spans="1:27">
      <c r="A515" s="4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</row>
    <row r="516" spans="1:27">
      <c r="A516" s="4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</row>
    <row r="517" spans="1:27">
      <c r="A517" s="4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</row>
    <row r="518" spans="1:27">
      <c r="A518" s="4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</row>
    <row r="519" spans="1:27">
      <c r="A519" s="4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</row>
    <row r="520" spans="1:27">
      <c r="A520" s="4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</row>
    <row r="521" spans="1:27">
      <c r="A521" s="4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</row>
    <row r="522" spans="1:27">
      <c r="A522" s="4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</row>
    <row r="523" spans="1:27">
      <c r="A523" s="4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</row>
    <row r="524" spans="1:27">
      <c r="A524" s="4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</row>
    <row r="525" spans="1:27">
      <c r="A525" s="4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</row>
    <row r="526" spans="1:27">
      <c r="A526" s="4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</row>
    <row r="527" spans="1:27">
      <c r="A527" s="4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</row>
    <row r="528" spans="1:27">
      <c r="A528" s="4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</row>
    <row r="529" spans="1:27">
      <c r="A529" s="4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</row>
    <row r="530" spans="1:27">
      <c r="A530" s="4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</row>
    <row r="531" spans="1:27">
      <c r="A531" s="4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</row>
    <row r="532" spans="1:27">
      <c r="A532" s="4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</row>
    <row r="533" spans="1:27">
      <c r="A533" s="4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</row>
    <row r="534" spans="1:27">
      <c r="A534" s="4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</row>
    <row r="535" spans="1:27">
      <c r="A535" s="4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</row>
    <row r="536" spans="1:27">
      <c r="A536" s="4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</row>
    <row r="537" spans="1:27">
      <c r="A537" s="4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</row>
    <row r="538" spans="1:27">
      <c r="A538" s="4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</row>
    <row r="539" spans="1:27">
      <c r="A539" s="4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</row>
    <row r="540" spans="1:27">
      <c r="A540" s="4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</row>
    <row r="541" spans="1:27">
      <c r="A541" s="4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</row>
    <row r="542" spans="1:27">
      <c r="A542" s="4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</row>
    <row r="543" spans="1:27">
      <c r="A543" s="4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</row>
    <row r="544" spans="1:27">
      <c r="A544" s="4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</row>
    <row r="545" spans="1:27">
      <c r="A545" s="4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</row>
    <row r="546" spans="1:27">
      <c r="A546" s="4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</row>
    <row r="547" spans="1:27">
      <c r="A547" s="4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</row>
    <row r="548" spans="1:27">
      <c r="A548" s="4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</row>
    <row r="549" spans="1:27">
      <c r="A549" s="4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</row>
    <row r="550" spans="1:27">
      <c r="A550" s="4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</row>
    <row r="551" spans="1:27">
      <c r="A551" s="4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</row>
    <row r="552" spans="1:27">
      <c r="A552" s="4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</row>
    <row r="553" spans="1:27">
      <c r="A553" s="4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</row>
    <row r="554" spans="1:27">
      <c r="A554" s="4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</row>
    <row r="555" spans="1:27">
      <c r="A555" s="4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</row>
    <row r="556" spans="1:27">
      <c r="A556" s="4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</row>
    <row r="557" spans="1:27">
      <c r="A557" s="4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</row>
    <row r="558" spans="1:27">
      <c r="A558" s="4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</row>
    <row r="559" spans="1:27">
      <c r="A559" s="4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</row>
    <row r="560" spans="1:27">
      <c r="A560" s="4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</row>
    <row r="561" spans="1:27">
      <c r="A561" s="4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</row>
    <row r="562" spans="1:27">
      <c r="A562" s="4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</row>
    <row r="563" spans="1:27">
      <c r="A563" s="4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</row>
    <row r="564" spans="1:27">
      <c r="A564" s="4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</row>
    <row r="565" spans="1:27">
      <c r="A565" s="4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</row>
    <row r="566" spans="1:27">
      <c r="A566" s="4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</row>
    <row r="567" spans="1:27">
      <c r="A567" s="4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</row>
    <row r="568" spans="1:27">
      <c r="A568" s="4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</row>
    <row r="569" spans="1:27">
      <c r="A569" s="4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</row>
    <row r="570" spans="1:27">
      <c r="A570" s="4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</row>
    <row r="571" spans="1:27">
      <c r="A571" s="4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</row>
    <row r="572" spans="1:27">
      <c r="A572" s="4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</row>
    <row r="573" spans="1:27">
      <c r="A573" s="4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</row>
    <row r="574" spans="1:27">
      <c r="A574" s="4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</row>
    <row r="575" spans="1:27">
      <c r="A575" s="4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</row>
    <row r="576" spans="1:27">
      <c r="A576" s="4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</row>
    <row r="577" spans="1:27">
      <c r="A577" s="4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</row>
    <row r="578" spans="1:27">
      <c r="A578" s="4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</row>
    <row r="579" spans="1:27">
      <c r="A579" s="4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</row>
    <row r="580" spans="1:27">
      <c r="A580" s="4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</row>
    <row r="581" spans="1:27">
      <c r="A581" s="4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</row>
    <row r="582" spans="1:27">
      <c r="A582" s="4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</row>
    <row r="583" spans="1:27">
      <c r="A583" s="4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</row>
    <row r="584" spans="1:27">
      <c r="A584" s="4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</row>
    <row r="585" spans="1:27">
      <c r="A585" s="4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</row>
    <row r="586" spans="1:27">
      <c r="A586" s="4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</row>
    <row r="587" spans="1:27">
      <c r="A587" s="4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</row>
    <row r="588" spans="1:27">
      <c r="A588" s="4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</row>
    <row r="589" spans="1:27">
      <c r="A589" s="4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</row>
    <row r="590" spans="1:27">
      <c r="A590" s="4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</row>
    <row r="591" spans="1:27">
      <c r="A591" s="4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</row>
    <row r="592" spans="1:27">
      <c r="A592" s="4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</row>
    <row r="593" spans="1:27">
      <c r="A593" s="4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</row>
    <row r="594" spans="1:27">
      <c r="A594" s="4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</row>
    <row r="595" spans="1:27">
      <c r="A595" s="4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</row>
    <row r="596" spans="1:27">
      <c r="A596" s="4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</row>
    <row r="597" spans="1:27">
      <c r="A597" s="4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</row>
    <row r="598" spans="1:27">
      <c r="A598" s="4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</row>
    <row r="599" spans="1:27">
      <c r="A599" s="4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</row>
    <row r="600" spans="1:27">
      <c r="A600" s="4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</row>
    <row r="601" spans="1:27">
      <c r="A601" s="4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</row>
    <row r="602" spans="1:27">
      <c r="A602" s="4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</row>
    <row r="603" spans="1:27">
      <c r="A603" s="4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</row>
    <row r="604" spans="1:27">
      <c r="A604" s="4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</row>
    <row r="605" spans="1:27">
      <c r="A605" s="4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</row>
    <row r="606" spans="1:27">
      <c r="A606" s="4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</row>
    <row r="607" spans="1:27">
      <c r="A607" s="4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</row>
    <row r="608" spans="1:27">
      <c r="A608" s="4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</row>
    <row r="609" spans="1:27">
      <c r="A609" s="4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</row>
    <row r="610" spans="1:27">
      <c r="A610" s="4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</row>
    <row r="611" spans="1:27">
      <c r="A611" s="4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</row>
    <row r="612" spans="1:27">
      <c r="A612" s="4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</row>
    <row r="613" spans="1:27">
      <c r="A613" s="4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</row>
    <row r="614" spans="1:27">
      <c r="A614" s="4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</row>
    <row r="615" spans="1:27">
      <c r="A615" s="4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</row>
    <row r="616" spans="1:27">
      <c r="A616" s="4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</row>
    <row r="617" spans="1:27">
      <c r="A617" s="4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</row>
    <row r="618" spans="1:27">
      <c r="A618" s="4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</row>
    <row r="619" spans="1:27">
      <c r="A619" s="4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</row>
    <row r="620" spans="1:27">
      <c r="A620" s="4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</row>
    <row r="621" spans="1:27">
      <c r="A621" s="4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</row>
    <row r="622" spans="1:27">
      <c r="A622" s="4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</row>
    <row r="623" spans="1:27">
      <c r="A623" s="4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</row>
    <row r="624" spans="1:27">
      <c r="A624" s="4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</row>
    <row r="625" spans="1:27">
      <c r="A625" s="4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</row>
    <row r="626" spans="1:27">
      <c r="A626" s="4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</row>
    <row r="627" spans="1:27">
      <c r="A627" s="4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</row>
    <row r="628" spans="1:27">
      <c r="A628" s="4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</row>
    <row r="629" spans="1:27">
      <c r="A629" s="4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</row>
    <row r="630" spans="1:27">
      <c r="A630" s="4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</row>
    <row r="631" spans="1:27">
      <c r="A631" s="4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</row>
    <row r="632" spans="1:27">
      <c r="A632" s="4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</row>
    <row r="633" spans="1:27">
      <c r="A633" s="4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</row>
    <row r="634" spans="1:27">
      <c r="A634" s="4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</row>
    <row r="635" spans="1:27">
      <c r="A635" s="4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</row>
    <row r="636" spans="1:27">
      <c r="A636" s="4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</row>
    <row r="637" spans="1:27">
      <c r="A637" s="4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</row>
    <row r="638" spans="1:27">
      <c r="A638" s="4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</row>
    <row r="639" spans="1:27">
      <c r="A639" s="4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</row>
    <row r="640" spans="1:27">
      <c r="A640" s="4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</row>
    <row r="641" spans="1:27">
      <c r="A641" s="4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</row>
    <row r="642" spans="1:27">
      <c r="A642" s="4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</row>
    <row r="643" spans="1:27">
      <c r="A643" s="4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</row>
    <row r="644" spans="1:27">
      <c r="A644" s="4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</row>
    <row r="645" spans="1:27">
      <c r="A645" s="4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</row>
    <row r="646" spans="1:27">
      <c r="A646" s="4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</row>
    <row r="647" spans="1:27">
      <c r="A647" s="4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</row>
    <row r="648" spans="1:27">
      <c r="A648" s="4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</row>
    <row r="649" spans="1:27">
      <c r="A649" s="4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</row>
    <row r="650" spans="1:27">
      <c r="A650" s="4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</row>
    <row r="651" spans="1:27">
      <c r="A651" s="4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</row>
    <row r="652" spans="1:27">
      <c r="A652" s="4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</row>
    <row r="653" spans="1:27">
      <c r="A653" s="4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</row>
    <row r="654" spans="1:27">
      <c r="A654" s="4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</row>
    <row r="655" spans="1:27">
      <c r="A655" s="4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</row>
    <row r="656" spans="1:27">
      <c r="A656" s="4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</row>
    <row r="657" spans="1:27">
      <c r="A657" s="4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</row>
    <row r="658" spans="1:27">
      <c r="A658" s="4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</row>
    <row r="659" spans="1:27">
      <c r="A659" s="4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</row>
    <row r="660" spans="1:27">
      <c r="A660" s="4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</row>
    <row r="661" spans="1:27">
      <c r="A661" s="4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</row>
    <row r="662" spans="1:27">
      <c r="A662" s="4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</row>
    <row r="663" spans="1:27">
      <c r="A663" s="4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</row>
    <row r="664" spans="1:27">
      <c r="A664" s="4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</row>
    <row r="665" spans="1:27">
      <c r="A665" s="4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</row>
    <row r="666" spans="1:27">
      <c r="A666" s="4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</row>
    <row r="667" spans="1:27">
      <c r="A667" s="4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</row>
    <row r="668" spans="1:27">
      <c r="A668" s="4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</row>
    <row r="669" spans="1:27">
      <c r="A669" s="4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</row>
    <row r="670" spans="1:27">
      <c r="A670" s="4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</row>
    <row r="671" spans="1:27">
      <c r="A671" s="4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</row>
    <row r="672" spans="1:27">
      <c r="A672" s="4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</row>
    <row r="673" spans="1:27">
      <c r="A673" s="4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</row>
    <row r="674" spans="1:27">
      <c r="A674" s="4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</row>
    <row r="675" spans="1:27">
      <c r="A675" s="4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</row>
    <row r="676" spans="1:27">
      <c r="A676" s="4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</row>
    <row r="677" spans="1:27">
      <c r="A677" s="4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</row>
    <row r="678" spans="1:27">
      <c r="A678" s="4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</row>
    <row r="679" spans="1:27">
      <c r="A679" s="4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</row>
    <row r="680" spans="1:27">
      <c r="A680" s="4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</row>
    <row r="681" spans="1:27">
      <c r="A681" s="4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</row>
    <row r="682" spans="1:27">
      <c r="A682" s="4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</row>
    <row r="683" spans="1:27">
      <c r="A683" s="4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</row>
    <row r="684" spans="1:27">
      <c r="A684" s="4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</row>
    <row r="685" spans="1:27">
      <c r="A685" s="4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</row>
    <row r="686" spans="1:27">
      <c r="A686" s="4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</row>
    <row r="687" spans="1:27">
      <c r="A687" s="4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</row>
    <row r="688" spans="1:27">
      <c r="A688" s="4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</row>
    <row r="689" spans="1:27">
      <c r="A689" s="4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</row>
    <row r="690" spans="1:27">
      <c r="A690" s="4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</row>
    <row r="691" spans="1:27">
      <c r="A691" s="4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</row>
    <row r="692" spans="1:27">
      <c r="A692" s="4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</row>
    <row r="693" spans="1:27">
      <c r="A693" s="4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</row>
    <row r="694" spans="1:27">
      <c r="A694" s="4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</row>
    <row r="695" spans="1:27">
      <c r="A695" s="4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</row>
    <row r="696" spans="1:27">
      <c r="A696" s="4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</row>
    <row r="697" spans="1:27">
      <c r="A697" s="4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</row>
    <row r="698" spans="1:27">
      <c r="A698" s="4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</row>
    <row r="699" spans="1:27">
      <c r="A699" s="4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</row>
    <row r="700" spans="1:27">
      <c r="A700" s="4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</row>
    <row r="701" spans="1:27">
      <c r="A701" s="4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</row>
    <row r="702" spans="1:27">
      <c r="A702" s="4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</row>
    <row r="703" spans="1:27">
      <c r="A703" s="4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</row>
    <row r="704" spans="1:27">
      <c r="A704" s="4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</row>
    <row r="705" spans="1:27">
      <c r="A705" s="4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</row>
    <row r="706" spans="1:27">
      <c r="A706" s="4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</row>
    <row r="707" spans="1:27">
      <c r="A707" s="4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</row>
    <row r="708" spans="1:27">
      <c r="A708" s="4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</row>
    <row r="709" spans="1:27">
      <c r="A709" s="4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</row>
    <row r="710" spans="1:27">
      <c r="A710" s="4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</row>
    <row r="711" spans="1:27">
      <c r="A711" s="4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</row>
    <row r="712" spans="1:27">
      <c r="A712" s="4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</row>
    <row r="713" spans="1:27">
      <c r="A713" s="4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</row>
    <row r="714" spans="1:27">
      <c r="A714" s="4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</row>
    <row r="715" spans="1:27">
      <c r="A715" s="4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</row>
    <row r="716" spans="1:27">
      <c r="A716" s="4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</row>
    <row r="717" spans="1:27">
      <c r="A717" s="4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</row>
    <row r="718" spans="1:27">
      <c r="A718" s="4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</row>
    <row r="719" spans="1:27">
      <c r="A719" s="4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</row>
    <row r="720" spans="1:27">
      <c r="A720" s="4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</row>
    <row r="721" spans="1:27">
      <c r="A721" s="4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</row>
    <row r="722" spans="1:27">
      <c r="A722" s="4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</row>
    <row r="723" spans="1:27">
      <c r="A723" s="4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</row>
    <row r="724" spans="1:27">
      <c r="A724" s="4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</row>
    <row r="725" spans="1:27">
      <c r="A725" s="4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</row>
    <row r="726" spans="1:27">
      <c r="A726" s="4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</row>
    <row r="727" spans="1:27">
      <c r="A727" s="4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</row>
    <row r="728" spans="1:27">
      <c r="A728" s="4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</row>
    <row r="729" spans="1:27">
      <c r="A729" s="4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</row>
    <row r="730" spans="1:27">
      <c r="A730" s="4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</row>
    <row r="731" spans="1:27">
      <c r="A731" s="4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</row>
    <row r="732" spans="1:27">
      <c r="A732" s="4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</row>
    <row r="733" spans="1:27">
      <c r="A733" s="4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</row>
    <row r="734" spans="1:27">
      <c r="A734" s="4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</row>
    <row r="735" spans="1:27">
      <c r="A735" s="4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</row>
    <row r="736" spans="1:27">
      <c r="A736" s="4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</row>
    <row r="737" spans="1:27">
      <c r="A737" s="4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</row>
    <row r="738" spans="1:27">
      <c r="A738" s="4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</row>
    <row r="739" spans="1:27">
      <c r="A739" s="4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</row>
    <row r="740" spans="1:27">
      <c r="A740" s="4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</row>
    <row r="741" spans="1:27">
      <c r="A741" s="4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</row>
    <row r="742" spans="1:27">
      <c r="A742" s="4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</row>
    <row r="743" spans="1:27">
      <c r="A743" s="4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</row>
    <row r="744" spans="1:27">
      <c r="A744" s="4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</row>
    <row r="745" spans="1:27">
      <c r="A745" s="4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</row>
    <row r="746" spans="1:27">
      <c r="A746" s="4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</row>
    <row r="747" spans="1:27">
      <c r="A747" s="4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</row>
    <row r="748" spans="1:27">
      <c r="A748" s="4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</row>
    <row r="749" spans="1:27">
      <c r="A749" s="4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</row>
    <row r="750" spans="1:27">
      <c r="A750" s="4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</row>
    <row r="751" spans="1:27">
      <c r="A751" s="4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</row>
    <row r="752" spans="1:27">
      <c r="A752" s="4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</row>
    <row r="753" spans="1:27">
      <c r="A753" s="4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</row>
    <row r="754" spans="1:27">
      <c r="A754" s="4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</row>
    <row r="755" spans="1:27">
      <c r="A755" s="4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</row>
    <row r="756" spans="1:27">
      <c r="A756" s="4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</row>
    <row r="757" spans="1:27">
      <c r="A757" s="4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</row>
    <row r="758" spans="1:27">
      <c r="A758" s="4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</row>
    <row r="759" spans="1:27">
      <c r="A759" s="4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</row>
    <row r="760" spans="1:27">
      <c r="A760" s="4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</row>
    <row r="761" spans="1:27">
      <c r="A761" s="4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</row>
    <row r="762" spans="1:27">
      <c r="A762" s="4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</row>
    <row r="763" spans="1:27">
      <c r="A763" s="4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</row>
    <row r="764" spans="1:27">
      <c r="A764" s="4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</row>
    <row r="765" spans="1:27">
      <c r="A765" s="4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</row>
    <row r="766" spans="1:27">
      <c r="A766" s="4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</row>
    <row r="767" spans="1:27">
      <c r="A767" s="4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</row>
    <row r="768" spans="1:27">
      <c r="A768" s="4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</row>
    <row r="769" spans="1:27">
      <c r="A769" s="4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</row>
    <row r="770" spans="1:27">
      <c r="A770" s="4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</row>
    <row r="771" spans="1:27">
      <c r="A771" s="4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</row>
    <row r="772" spans="1:27">
      <c r="A772" s="4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</row>
    <row r="773" spans="1:27">
      <c r="A773" s="4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</row>
    <row r="774" spans="1:27">
      <c r="A774" s="4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</row>
    <row r="775" spans="1:27">
      <c r="A775" s="4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</row>
    <row r="776" spans="1:27">
      <c r="A776" s="4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</row>
    <row r="777" spans="1:27">
      <c r="A777" s="4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</row>
    <row r="778" spans="1:27">
      <c r="A778" s="4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</row>
    <row r="779" spans="1:27">
      <c r="A779" s="4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</row>
    <row r="780" spans="1:27">
      <c r="A780" s="4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</row>
    <row r="781" spans="1:27">
      <c r="A781" s="4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</row>
    <row r="782" spans="1:27">
      <c r="A782" s="4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</row>
    <row r="783" spans="1:27">
      <c r="A783" s="4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</row>
    <row r="784" spans="1:27">
      <c r="A784" s="4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</row>
    <row r="785" spans="1:27">
      <c r="A785" s="4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</row>
    <row r="786" spans="1:27">
      <c r="A786" s="4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</row>
    <row r="787" spans="1:27">
      <c r="A787" s="4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</row>
    <row r="788" spans="1:27">
      <c r="A788" s="4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</row>
    <row r="789" spans="1:27">
      <c r="A789" s="4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</row>
    <row r="790" spans="1:27">
      <c r="A790" s="4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</row>
    <row r="791" spans="1:27">
      <c r="A791" s="4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</row>
    <row r="792" spans="1:27">
      <c r="A792" s="4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</row>
    <row r="793" spans="1:27">
      <c r="A793" s="4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</row>
    <row r="794" spans="1:27">
      <c r="A794" s="4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</row>
    <row r="795" spans="1:27">
      <c r="A795" s="4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</row>
    <row r="796" spans="1:27">
      <c r="A796" s="4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</row>
    <row r="797" spans="1:27">
      <c r="A797" s="4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</row>
    <row r="798" spans="1:27">
      <c r="A798" s="4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</row>
    <row r="799" spans="1:27">
      <c r="A799" s="4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</row>
    <row r="800" spans="1:27">
      <c r="A800" s="4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</row>
    <row r="801" spans="1:27">
      <c r="A801" s="4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</row>
    <row r="802" spans="1:27">
      <c r="A802" s="4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</row>
    <row r="803" spans="1:27">
      <c r="A803" s="4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</row>
    <row r="804" spans="1:27">
      <c r="A804" s="4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</row>
    <row r="805" spans="1:27">
      <c r="A805" s="4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</row>
    <row r="806" spans="1:27">
      <c r="A806" s="4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</row>
    <row r="807" spans="1:27">
      <c r="A807" s="4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</row>
    <row r="808" spans="1:27">
      <c r="A808" s="4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</row>
    <row r="809" spans="1:27">
      <c r="A809" s="4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</row>
    <row r="810" spans="1:27">
      <c r="A810" s="4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</row>
    <row r="811" spans="1:27">
      <c r="A811" s="4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</row>
    <row r="812" spans="1:27">
      <c r="A812" s="4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</row>
    <row r="813" spans="1:27">
      <c r="A813" s="4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</row>
    <row r="814" spans="1:27">
      <c r="A814" s="4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</row>
    <row r="815" spans="1:27">
      <c r="A815" s="4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</row>
    <row r="816" spans="1:27">
      <c r="A816" s="4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</row>
    <row r="817" spans="1:27">
      <c r="A817" s="4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</row>
    <row r="818" spans="1:27">
      <c r="A818" s="4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</row>
    <row r="819" spans="1:27">
      <c r="A819" s="4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</row>
    <row r="820" spans="1:27">
      <c r="A820" s="4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</row>
    <row r="821" spans="1:27">
      <c r="A821" s="4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</row>
    <row r="822" spans="1:27">
      <c r="A822" s="4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</row>
    <row r="823" spans="1:27">
      <c r="A823" s="4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</row>
    <row r="824" spans="1:27">
      <c r="A824" s="4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</row>
    <row r="825" spans="1:27">
      <c r="A825" s="4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</row>
    <row r="826" spans="1:27">
      <c r="A826" s="4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</row>
    <row r="827" spans="1:27">
      <c r="A827" s="4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</row>
    <row r="828" spans="1:27">
      <c r="A828" s="4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</row>
    <row r="829" spans="1:27">
      <c r="A829" s="4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</row>
    <row r="830" spans="1:27">
      <c r="A830" s="4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</row>
    <row r="831" spans="1:27">
      <c r="A831" s="4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</row>
    <row r="832" spans="1:27">
      <c r="A832" s="4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</row>
    <row r="833" spans="1:27">
      <c r="A833" s="4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</row>
    <row r="834" spans="1:27">
      <c r="A834" s="4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</row>
    <row r="835" spans="1:27">
      <c r="A835" s="4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</row>
    <row r="836" spans="1:27">
      <c r="A836" s="4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</row>
    <row r="837" spans="1:27">
      <c r="A837" s="4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</row>
    <row r="838" spans="1:27">
      <c r="A838" s="4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</row>
    <row r="839" spans="1:27">
      <c r="A839" s="4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</row>
    <row r="840" spans="1:27">
      <c r="A840" s="4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</row>
    <row r="841" spans="1:27">
      <c r="A841" s="4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</row>
    <row r="842" spans="1:27">
      <c r="A842" s="4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</row>
    <row r="843" spans="1:27">
      <c r="A843" s="4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</row>
    <row r="844" spans="1:27">
      <c r="A844" s="4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</row>
    <row r="845" spans="1:27">
      <c r="A845" s="4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</row>
    <row r="846" spans="1:27">
      <c r="A846" s="4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</row>
    <row r="847" spans="1:27">
      <c r="A847" s="4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</row>
    <row r="848" spans="1:27">
      <c r="A848" s="4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</row>
    <row r="849" spans="1:27">
      <c r="A849" s="4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</row>
    <row r="850" spans="1:27">
      <c r="A850" s="4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</row>
    <row r="851" spans="1:27">
      <c r="A851" s="4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</row>
    <row r="852" spans="1:27">
      <c r="A852" s="4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</row>
    <row r="853" spans="1:27">
      <c r="A853" s="4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</row>
    <row r="854" spans="1:27">
      <c r="A854" s="4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</row>
    <row r="855" spans="1:27">
      <c r="A855" s="4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</row>
    <row r="856" spans="1:27">
      <c r="A856" s="4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</row>
    <row r="857" spans="1:27">
      <c r="A857" s="4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</row>
    <row r="858" spans="1:27">
      <c r="A858" s="4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</row>
    <row r="859" spans="1:27">
      <c r="A859" s="4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</row>
    <row r="860" spans="1:27">
      <c r="A860" s="4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</row>
    <row r="861" spans="1:27">
      <c r="A861" s="4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</row>
    <row r="862" spans="1:27">
      <c r="A862" s="4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</row>
    <row r="863" spans="1:27">
      <c r="A863" s="4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</row>
    <row r="864" spans="1:27">
      <c r="A864" s="4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</row>
    <row r="865" spans="1:27">
      <c r="A865" s="4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</row>
    <row r="866" spans="1:27">
      <c r="A866" s="4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</row>
    <row r="867" spans="1:27">
      <c r="A867" s="4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</row>
    <row r="868" spans="1:27">
      <c r="A868" s="4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</row>
    <row r="869" spans="1:27">
      <c r="A869" s="4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</row>
    <row r="870" spans="1:27">
      <c r="A870" s="4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</row>
    <row r="871" spans="1:27">
      <c r="A871" s="4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</row>
    <row r="872" spans="1:27">
      <c r="A872" s="4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</row>
    <row r="873" spans="1:27">
      <c r="A873" s="4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</row>
    <row r="874" spans="1:27">
      <c r="A874" s="4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</row>
    <row r="875" spans="1:27">
      <c r="A875" s="4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</row>
    <row r="876" spans="1:27">
      <c r="A876" s="4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</row>
    <row r="877" spans="1:27">
      <c r="A877" s="4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</row>
    <row r="878" spans="1:27">
      <c r="A878" s="4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</row>
    <row r="879" spans="1:27">
      <c r="A879" s="4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</row>
    <row r="880" spans="1:27">
      <c r="A880" s="4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</row>
    <row r="881" spans="1:27">
      <c r="A881" s="4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</row>
    <row r="882" spans="1:27">
      <c r="A882" s="4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</row>
    <row r="883" spans="1:27">
      <c r="A883" s="4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</row>
    <row r="884" spans="1:27">
      <c r="A884" s="4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</row>
    <row r="885" spans="1:27">
      <c r="A885" s="4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</row>
    <row r="886" spans="1:27">
      <c r="A886" s="4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</row>
    <row r="887" spans="1:27">
      <c r="A887" s="4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</row>
    <row r="888" spans="1:27">
      <c r="A888" s="4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</row>
    <row r="889" spans="1:27">
      <c r="A889" s="4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</row>
    <row r="890" spans="1:27">
      <c r="A890" s="4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</row>
    <row r="891" spans="1:27">
      <c r="A891" s="4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</row>
    <row r="892" spans="1:27">
      <c r="A892" s="4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</row>
    <row r="893" spans="1:27">
      <c r="A893" s="4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</row>
    <row r="894" spans="1:27">
      <c r="A894" s="4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</row>
    <row r="895" spans="1:27">
      <c r="A895" s="4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</row>
    <row r="896" spans="1:27">
      <c r="A896" s="4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</row>
    <row r="897" spans="1:27">
      <c r="A897" s="4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</row>
    <row r="898" spans="1:27">
      <c r="A898" s="4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</row>
    <row r="899" spans="1:27">
      <c r="A899" s="4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</row>
    <row r="900" spans="1:27">
      <c r="A900" s="4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</row>
    <row r="901" spans="1:27">
      <c r="A901" s="4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</row>
    <row r="902" spans="1:27">
      <c r="A902" s="4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</row>
    <row r="903" spans="1:27">
      <c r="A903" s="4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</row>
    <row r="904" spans="1:27">
      <c r="A904" s="4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</row>
    <row r="905" spans="1:27">
      <c r="A905" s="4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</row>
    <row r="906" spans="1:27">
      <c r="A906" s="4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</row>
    <row r="907" spans="1:27">
      <c r="A907" s="4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</row>
    <row r="908" spans="1:27">
      <c r="A908" s="4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</row>
    <row r="909" spans="1:27">
      <c r="A909" s="4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</row>
    <row r="910" spans="1:27">
      <c r="A910" s="4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</row>
    <row r="911" spans="1:27">
      <c r="A911" s="4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</row>
    <row r="912" spans="1:27">
      <c r="A912" s="4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</row>
    <row r="913" spans="1:27">
      <c r="A913" s="4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</row>
    <row r="914" spans="1:27">
      <c r="A914" s="4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</row>
    <row r="915" spans="1:27">
      <c r="A915" s="4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</row>
    <row r="916" spans="1:27">
      <c r="A916" s="4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</row>
    <row r="917" spans="1:27">
      <c r="A917" s="4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</row>
    <row r="918" spans="1:27">
      <c r="A918" s="4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</row>
    <row r="919" spans="1:27">
      <c r="A919" s="4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</row>
    <row r="920" spans="1:27">
      <c r="A920" s="4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</row>
    <row r="921" spans="1:27">
      <c r="A921" s="4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</row>
    <row r="922" spans="1:27">
      <c r="A922" s="4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</row>
    <row r="923" spans="1:27">
      <c r="A923" s="4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</row>
    <row r="924" spans="1:27">
      <c r="A924" s="4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</row>
    <row r="925" spans="1:27">
      <c r="A925" s="4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</row>
    <row r="926" spans="1:27">
      <c r="A926" s="4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</row>
    <row r="927" spans="1:27">
      <c r="A927" s="4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</row>
    <row r="928" spans="1:27">
      <c r="A928" s="4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</row>
    <row r="929" spans="1:27">
      <c r="A929" s="4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</row>
    <row r="930" spans="1:27">
      <c r="A930" s="4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</row>
    <row r="931" spans="1:27">
      <c r="A931" s="4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</row>
    <row r="932" spans="1:27">
      <c r="A932" s="4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</row>
    <row r="933" spans="1:27">
      <c r="A933" s="4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</row>
    <row r="934" spans="1:27">
      <c r="A934" s="4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</row>
    <row r="935" spans="1:27">
      <c r="A935" s="4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</row>
    <row r="936" spans="1:27">
      <c r="A936" s="4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</row>
    <row r="937" spans="1:27">
      <c r="A937" s="4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</row>
    <row r="938" spans="1:27">
      <c r="A938" s="4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</row>
    <row r="939" spans="1:27">
      <c r="A939" s="4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</row>
    <row r="940" spans="1:27">
      <c r="A940" s="4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</row>
    <row r="941" spans="1:27">
      <c r="A941" s="4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</row>
    <row r="942" spans="1:27">
      <c r="A942" s="4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</row>
    <row r="943" spans="1:27">
      <c r="A943" s="4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</row>
    <row r="944" spans="1:27">
      <c r="A944" s="4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</row>
    <row r="945" spans="1:27">
      <c r="A945" s="4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</row>
    <row r="946" spans="1:27">
      <c r="A946" s="4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</row>
    <row r="947" spans="1:27">
      <c r="A947" s="4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</row>
    <row r="948" spans="1:27">
      <c r="A948" s="4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</row>
    <row r="949" spans="1:27">
      <c r="A949" s="4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</row>
    <row r="950" spans="1:27">
      <c r="A950" s="4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</row>
    <row r="951" spans="1:27">
      <c r="A951" s="4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</row>
    <row r="952" spans="1:27">
      <c r="A952" s="4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</row>
    <row r="953" spans="1:27">
      <c r="A953" s="4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</row>
    <row r="954" spans="1:27">
      <c r="A954" s="4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</row>
    <row r="955" spans="1:27">
      <c r="A955" s="4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</row>
    <row r="956" spans="1:27">
      <c r="A956" s="4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</row>
    <row r="957" spans="1:27">
      <c r="A957" s="4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</row>
    <row r="958" spans="1:27">
      <c r="A958" s="4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</row>
    <row r="959" spans="1:27">
      <c r="A959" s="4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</row>
    <row r="960" spans="1:27">
      <c r="A960" s="4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</row>
    <row r="961" spans="1:27">
      <c r="A961" s="4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</row>
    <row r="962" spans="1:27">
      <c r="A962" s="4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</row>
    <row r="963" spans="1:27">
      <c r="A963" s="4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</row>
    <row r="964" spans="1:27">
      <c r="A964" s="4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</row>
    <row r="965" spans="1:27">
      <c r="A965" s="4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</row>
    <row r="966" spans="1:27">
      <c r="A966" s="4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</row>
    <row r="967" spans="1:27">
      <c r="A967" s="4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</row>
    <row r="968" spans="1:27">
      <c r="A968" s="4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</row>
    <row r="969" spans="1:27">
      <c r="A969" s="4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</row>
    <row r="970" spans="1:27">
      <c r="A970" s="4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</row>
    <row r="971" spans="1:27">
      <c r="A971" s="4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</row>
    <row r="972" spans="1:27">
      <c r="A972" s="4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</row>
    <row r="973" spans="1:27">
      <c r="A973" s="4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</row>
    <row r="974" spans="1:27">
      <c r="A974" s="4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</row>
    <row r="975" spans="1:27">
      <c r="A975" s="4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</row>
    <row r="976" spans="1:27">
      <c r="A976" s="4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</row>
    <row r="977" spans="1:27">
      <c r="A977" s="4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</row>
    <row r="978" spans="1:27">
      <c r="A978" s="4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</row>
    <row r="979" spans="1:27">
      <c r="A979" s="4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</row>
    <row r="980" spans="1:27">
      <c r="A980" s="4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</row>
    <row r="981" spans="1:27">
      <c r="A981" s="4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</row>
    <row r="982" spans="1:27">
      <c r="A982" s="4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</row>
    <row r="983" spans="1:27">
      <c r="A983" s="4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</row>
    <row r="984" spans="1:27">
      <c r="A984" s="4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</row>
    <row r="985" spans="1:27">
      <c r="A985" s="4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</row>
    <row r="986" spans="1:27">
      <c r="A986" s="4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</row>
    <row r="987" spans="1:27">
      <c r="A987" s="4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</row>
    <row r="988" spans="1:27">
      <c r="A988" s="4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</row>
    <row r="989" spans="1:27">
      <c r="A989" s="4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</row>
    <row r="990" spans="1:27">
      <c r="A990" s="4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</row>
    <row r="991" spans="1:27">
      <c r="A991" s="4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</row>
    <row r="992" spans="1:27">
      <c r="A992" s="4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</row>
    <row r="993" spans="1:27">
      <c r="A993" s="4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</row>
    <row r="994" spans="1:27">
      <c r="A994" s="4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</row>
    <row r="995" spans="1:27">
      <c r="A995" s="4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</row>
    <row r="996" spans="1:27">
      <c r="A996" s="4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</row>
    <row r="997" spans="1:27">
      <c r="A997" s="4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</row>
    <row r="998" spans="1:27">
      <c r="A998" s="4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</row>
    <row r="999" spans="1:27">
      <c r="A999" s="4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</row>
    <row r="1000" spans="1:27">
      <c r="A1000" s="4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</row>
    <row r="1001" spans="1:27">
      <c r="A1001" s="4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  <c r="AA1001" s="6"/>
    </row>
    <row r="1002" spans="1:27">
      <c r="A1002" s="4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  <c r="AA1002" s="6"/>
    </row>
    <row r="1003" spans="1:27">
      <c r="A1003" s="4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  <c r="AA1003" s="6"/>
    </row>
    <row r="1004" spans="1:27">
      <c r="A1004" s="4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  <c r="AA1004" s="6"/>
    </row>
    <row r="1005" spans="1:27">
      <c r="A1005" s="4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  <c r="AA1005" s="6"/>
    </row>
    <row r="1006" spans="1:27">
      <c r="A1006" s="17"/>
      <c r="B1006" s="6"/>
      <c r="C1006" s="6"/>
      <c r="D1006" s="6"/>
      <c r="E1006" s="6"/>
      <c r="F1006" s="6"/>
      <c r="G1006" s="6"/>
      <c r="H1006" s="6"/>
      <c r="I1006" s="6"/>
    </row>
  </sheetData>
  <autoFilter ref="A1:I476" xr:uid="{00000000-0009-0000-0000-000002000000}"/>
  <mergeCells count="2">
    <mergeCell ref="K1:L1"/>
    <mergeCell ref="K2:K4"/>
  </mergeCells>
  <dataValidations count="2">
    <dataValidation type="list" allowBlank="1" showErrorMessage="1" sqref="E2:E1006" xr:uid="{00000000-0002-0000-0200-000000000000}">
      <formula1>"Danh từ,Động từ,Tính từ,Đại từ,Phó từ,Giới từ,Liên từ,Trợ từ,Số từ,Lượng từ"</formula1>
    </dataValidation>
    <dataValidation type="list" allowBlank="1" showErrorMessage="1" sqref="H2:H476" xr:uid="{00000000-0002-0000-0200-000001000000}">
      <formula1>"1. Con người &amp; Các mối quan hệ,2. Cơ thể &amp; Sức khỏe,3. Cảm xúc &amp; Thái độ,4. Tư duy &amp; Nhận thức,5. Đời sống sinh hoạt,6. Đồ vật &amp; Công cụ,7. Địa điểm &amp; Nơi chốn,8. Giao thông &amp; Di chuyển,9. Không gian &amp; Vị trí,10. Thời gian,12. Công việc &amp; Nghề nghiệp,13. "&amp;"Miêu tả &amp; Đánh giá,14. Số lượng &amp; Đo lường,15. Công cụ ngữ pháp &amp; Cấu trúc,16. Tự nhiên"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K1000"/>
  <sheetViews>
    <sheetView workbookViewId="0"/>
  </sheetViews>
  <sheetFormatPr defaultColWidth="12.6640625" defaultRowHeight="15.75" customHeight="1"/>
  <cols>
    <col min="1" max="1" width="5.6640625" customWidth="1"/>
    <col min="6" max="6" width="21.77734375" customWidth="1"/>
  </cols>
  <sheetData>
    <row r="1" spans="1:10">
      <c r="A1" s="19" t="s">
        <v>0</v>
      </c>
      <c r="B1" s="19" t="s">
        <v>3</v>
      </c>
      <c r="C1" s="19" t="s">
        <v>4</v>
      </c>
      <c r="D1" s="19" t="s">
        <v>5</v>
      </c>
      <c r="E1" s="19" t="s">
        <v>6</v>
      </c>
      <c r="F1" s="19" t="s">
        <v>16</v>
      </c>
      <c r="G1" s="19" t="s">
        <v>8</v>
      </c>
      <c r="I1" s="36" t="s">
        <v>9</v>
      </c>
      <c r="J1" s="37"/>
    </row>
    <row r="2" spans="1:10">
      <c r="A2" s="23">
        <v>1</v>
      </c>
      <c r="B2" s="21" t="s">
        <v>750</v>
      </c>
      <c r="C2" s="9"/>
      <c r="D2" s="21" t="s">
        <v>751</v>
      </c>
      <c r="E2" s="9" t="str">
        <f ca="1">IFERROR(__xludf.DUMMYFUNCTION("GOOGLETRANSLATE(B2,""zh"",""vi"")"),"à")</f>
        <v>à</v>
      </c>
      <c r="F2" s="9" t="s">
        <v>15</v>
      </c>
      <c r="G2" s="9"/>
      <c r="I2" s="38" t="s">
        <v>16</v>
      </c>
      <c r="J2" s="9"/>
    </row>
    <row r="3" spans="1:10">
      <c r="A3" s="23">
        <v>2</v>
      </c>
      <c r="B3" s="21" t="s">
        <v>1220</v>
      </c>
      <c r="C3" s="9"/>
      <c r="D3" s="21" t="s">
        <v>2650</v>
      </c>
      <c r="E3" s="9" t="str">
        <f ca="1">IFERROR(__xludf.DUMMYFUNCTION("GOOGLETRANSLATE(B3,""zh"",""vi"")"),"yêu")</f>
        <v>yêu</v>
      </c>
      <c r="F3" s="9" t="s">
        <v>15</v>
      </c>
      <c r="G3" s="9"/>
      <c r="I3" s="39"/>
      <c r="J3" s="9"/>
    </row>
    <row r="4" spans="1:10">
      <c r="A4" s="23">
        <v>3</v>
      </c>
      <c r="B4" s="21" t="s">
        <v>2651</v>
      </c>
      <c r="C4" s="9"/>
      <c r="D4" s="21" t="s">
        <v>2652</v>
      </c>
      <c r="E4" s="9" t="str">
        <f ca="1">IFERROR(__xludf.DUMMYFUNCTION("GOOGLETRANSLATE(B4,""zh"",""vi"")"),"Yêu")</f>
        <v>Yêu</v>
      </c>
      <c r="F4" s="9" t="s">
        <v>15</v>
      </c>
      <c r="G4" s="9"/>
      <c r="I4" s="39"/>
      <c r="J4" s="9"/>
    </row>
    <row r="5" spans="1:10">
      <c r="A5" s="23">
        <v>4</v>
      </c>
      <c r="B5" s="21" t="s">
        <v>2653</v>
      </c>
      <c r="C5" s="9"/>
      <c r="D5" s="21" t="s">
        <v>2654</v>
      </c>
      <c r="E5" s="9" t="str">
        <f ca="1">IFERROR(__xludf.DUMMYFUNCTION("GOOGLETRANSLATE(B5,""zh"",""vi"")"),"theo")</f>
        <v>theo</v>
      </c>
      <c r="F5" s="9" t="s">
        <v>87</v>
      </c>
      <c r="G5" s="9"/>
      <c r="I5" s="39"/>
      <c r="J5" s="9"/>
    </row>
    <row r="6" spans="1:10">
      <c r="A6" s="23">
        <v>5</v>
      </c>
      <c r="B6" s="21" t="s">
        <v>2655</v>
      </c>
      <c r="C6" s="9"/>
      <c r="D6" s="21" t="s">
        <v>2656</v>
      </c>
      <c r="E6" s="9" t="str">
        <f ca="1">IFERROR(__xludf.DUMMYFUNCTION("GOOGLETRANSLATE(B6,""zh"",""vi"")"),"Kiểm tra an ninh")</f>
        <v>Kiểm tra an ninh</v>
      </c>
      <c r="F6" s="9" t="s">
        <v>150</v>
      </c>
      <c r="G6" s="9"/>
      <c r="I6" s="39"/>
      <c r="J6" s="9"/>
    </row>
    <row r="7" spans="1:10">
      <c r="A7" s="23">
        <v>6</v>
      </c>
      <c r="B7" s="21" t="s">
        <v>2657</v>
      </c>
      <c r="C7" s="9"/>
      <c r="D7" s="21" t="s">
        <v>2658</v>
      </c>
      <c r="E7" s="9" t="str">
        <f ca="1">IFERROR(__xludf.DUMMYFUNCTION("GOOGLETRANSLATE(B7,""zh"",""vi"")"),"sắp xếp")</f>
        <v>sắp xếp</v>
      </c>
      <c r="F7" s="9" t="s">
        <v>87</v>
      </c>
      <c r="G7" s="9"/>
      <c r="I7" s="40"/>
      <c r="J7" s="9"/>
    </row>
    <row r="8" spans="1:10">
      <c r="A8" s="23">
        <v>7</v>
      </c>
      <c r="B8" s="21" t="s">
        <v>2659</v>
      </c>
      <c r="C8" s="9"/>
      <c r="D8" s="21" t="s">
        <v>2660</v>
      </c>
      <c r="E8" s="9" t="str">
        <f ca="1">IFERROR(__xludf.DUMMYFUNCTION("GOOGLETRANSLATE(B8,""zh"",""vi"")"),"đúng giờ")</f>
        <v>đúng giờ</v>
      </c>
      <c r="F8" s="9" t="s">
        <v>34</v>
      </c>
      <c r="G8" s="9"/>
    </row>
    <row r="9" spans="1:10">
      <c r="A9" s="23">
        <v>8</v>
      </c>
      <c r="B9" s="21" t="s">
        <v>2661</v>
      </c>
      <c r="C9" s="9"/>
      <c r="D9" s="21" t="s">
        <v>2662</v>
      </c>
      <c r="E9" s="9" t="str">
        <f ca="1">IFERROR(__xludf.DUMMYFUNCTION("GOOGLETRANSLATE(B9,""zh"",""vi"")"),"theo")</f>
        <v>theo</v>
      </c>
      <c r="F9" s="9" t="s">
        <v>87</v>
      </c>
      <c r="G9" s="9"/>
    </row>
    <row r="10" spans="1:10">
      <c r="A10" s="23">
        <v>9</v>
      </c>
      <c r="B10" s="21" t="s">
        <v>2663</v>
      </c>
      <c r="C10" s="9"/>
      <c r="D10" s="21" t="s">
        <v>2664</v>
      </c>
      <c r="E10" s="9" t="str">
        <f ca="1">IFERROR(__xludf.DUMMYFUNCTION("GOOGLETRANSLATE(B10,""zh"",""vi"")"),"Rượu")</f>
        <v>Rượu</v>
      </c>
      <c r="F10" s="9" t="s">
        <v>87</v>
      </c>
      <c r="G10" s="9"/>
    </row>
    <row r="11" spans="1:10">
      <c r="A11" s="23">
        <v>10</v>
      </c>
      <c r="B11" s="21" t="s">
        <v>2665</v>
      </c>
      <c r="C11" s="9"/>
      <c r="D11" s="21" t="s">
        <v>2666</v>
      </c>
      <c r="E11" s="9" t="str">
        <f ca="1">IFERROR(__xludf.DUMMYFUNCTION("GOOGLETRANSLATE(B11,""zh"",""vi"")"),"Tuyệt")</f>
        <v>Tuyệt</v>
      </c>
      <c r="F11" s="9" t="s">
        <v>87</v>
      </c>
      <c r="G11" s="9"/>
    </row>
    <row r="12" spans="1:10">
      <c r="A12" s="23">
        <v>11</v>
      </c>
      <c r="B12" s="21" t="s">
        <v>2667</v>
      </c>
      <c r="C12" s="9"/>
      <c r="D12" s="21" t="s">
        <v>2668</v>
      </c>
      <c r="E12" s="9" t="str">
        <f ca="1">IFERROR(__xludf.DUMMYFUNCTION("GOOGLETRANSLATE(B12,""zh"",""vi"")"),"Văn phòng")</f>
        <v>Văn phòng</v>
      </c>
      <c r="F12" s="9" t="s">
        <v>87</v>
      </c>
      <c r="G12" s="9"/>
    </row>
    <row r="13" spans="1:10">
      <c r="A13" s="23">
        <v>12</v>
      </c>
      <c r="B13" s="21" t="s">
        <v>2669</v>
      </c>
      <c r="C13" s="9"/>
      <c r="D13" s="21" t="s">
        <v>2670</v>
      </c>
      <c r="E13" s="9" t="str">
        <f ca="1">IFERROR(__xludf.DUMMYFUNCTION("GOOGLETRANSLATE(B13,""zh"",""vi"")"),"Xử lý")</f>
        <v>Xử lý</v>
      </c>
      <c r="F13" s="9" t="s">
        <v>87</v>
      </c>
      <c r="G13" s="9"/>
    </row>
    <row r="14" spans="1:10">
      <c r="A14" s="23">
        <v>13</v>
      </c>
      <c r="B14" s="21" t="s">
        <v>2671</v>
      </c>
      <c r="C14" s="9"/>
      <c r="D14" s="21" t="s">
        <v>2672</v>
      </c>
      <c r="E14" s="9" t="str">
        <f ca="1">IFERROR(__xludf.DUMMYFUNCTION("GOOGLETRANSLATE(B14,""zh"",""vi"")"),"công việc")</f>
        <v>công việc</v>
      </c>
      <c r="F14" s="9" t="s">
        <v>7</v>
      </c>
      <c r="G14" s="9"/>
    </row>
    <row r="15" spans="1:10">
      <c r="A15" s="23">
        <v>14</v>
      </c>
      <c r="B15" s="21" t="s">
        <v>2673</v>
      </c>
      <c r="C15" s="9"/>
      <c r="D15" s="21" t="s">
        <v>2674</v>
      </c>
      <c r="E15" s="9" t="str">
        <f ca="1">IFERROR(__xludf.DUMMYFUNCTION("GOOGLETRANSLATE(B15,""zh"",""vi"")"),"ôm")</f>
        <v>ôm</v>
      </c>
      <c r="F15" s="9" t="s">
        <v>87</v>
      </c>
      <c r="G15" s="9"/>
    </row>
    <row r="16" spans="1:10">
      <c r="A16" s="23">
        <v>15</v>
      </c>
      <c r="B16" s="21" t="s">
        <v>2675</v>
      </c>
      <c r="C16" s="9"/>
      <c r="D16" s="21" t="s">
        <v>2676</v>
      </c>
      <c r="E16" s="9" t="str">
        <f ca="1">IFERROR(__xludf.DUMMYFUNCTION("GOOGLETRANSLATE(B16,""zh"",""vi"")"),"Bảo vệ")</f>
        <v>Bảo vệ</v>
      </c>
      <c r="F16" s="9" t="s">
        <v>87</v>
      </c>
      <c r="G16" s="9"/>
    </row>
    <row r="17" spans="1:7">
      <c r="A17" s="23">
        <v>16</v>
      </c>
      <c r="B17" s="21" t="s">
        <v>2677</v>
      </c>
      <c r="C17" s="9"/>
      <c r="D17" s="21" t="s">
        <v>2678</v>
      </c>
      <c r="E17" s="9" t="str">
        <f ca="1">IFERROR(__xludf.DUMMYFUNCTION("GOOGLETRANSLATE(B17,""zh"",""vi"")"),"Ứng dụng")</f>
        <v>Ứng dụng</v>
      </c>
      <c r="F17" s="9" t="s">
        <v>87</v>
      </c>
      <c r="G17" s="9"/>
    </row>
    <row r="18" spans="1:7">
      <c r="A18" s="23">
        <v>17</v>
      </c>
      <c r="B18" s="21" t="s">
        <v>1228</v>
      </c>
      <c r="C18" s="9"/>
      <c r="D18" s="21" t="s">
        <v>2679</v>
      </c>
      <c r="E18" s="9" t="str">
        <f ca="1">IFERROR(__xludf.DUMMYFUNCTION("GOOGLETRANSLATE(B18,""zh"",""vi"")"),"Đăng ký")</f>
        <v>Đăng ký</v>
      </c>
      <c r="F18" s="9" t="s">
        <v>87</v>
      </c>
      <c r="G18" s="9"/>
    </row>
    <row r="19" spans="1:7">
      <c r="A19" s="23">
        <v>18</v>
      </c>
      <c r="B19" s="21" t="s">
        <v>2680</v>
      </c>
      <c r="C19" s="9"/>
      <c r="D19" s="21" t="s">
        <v>2681</v>
      </c>
      <c r="E19" s="9" t="str">
        <f ca="1">IFERROR(__xludf.DUMMYFUNCTION("GOOGLETRANSLATE(B19,""zh"",""vi"")"),"Tôi thấy tiếc")</f>
        <v>Tôi thấy tiếc</v>
      </c>
      <c r="F19" s="9" t="s">
        <v>87</v>
      </c>
      <c r="G19" s="9"/>
    </row>
    <row r="20" spans="1:7">
      <c r="A20" s="23">
        <v>19</v>
      </c>
      <c r="B20" s="21" t="s">
        <v>2682</v>
      </c>
      <c r="C20" s="9"/>
      <c r="D20" s="21" t="s">
        <v>2683</v>
      </c>
      <c r="E20" s="9" t="str">
        <f ca="1">IFERROR(__xludf.DUMMYFUNCTION("GOOGLETRANSLATE(B20,""zh"",""vi"")"),"đảm bảo")</f>
        <v>đảm bảo</v>
      </c>
      <c r="F20" s="9" t="s">
        <v>87</v>
      </c>
      <c r="G20" s="9"/>
    </row>
    <row r="21" spans="1:7">
      <c r="A21" s="23">
        <v>20</v>
      </c>
      <c r="B21" s="21" t="s">
        <v>2684</v>
      </c>
      <c r="C21" s="9"/>
      <c r="D21" s="21" t="s">
        <v>1471</v>
      </c>
      <c r="E21" s="9" t="str">
        <f ca="1">IFERROR(__xludf.DUMMYFUNCTION("GOOGLETRANSLATE(B21,""zh"",""vi"")"),"lần")</f>
        <v>lần</v>
      </c>
      <c r="F21" s="9" t="s">
        <v>87</v>
      </c>
      <c r="G21" s="9"/>
    </row>
    <row r="22" spans="1:7">
      <c r="A22" s="23">
        <v>21</v>
      </c>
      <c r="B22" s="21" t="s">
        <v>2685</v>
      </c>
      <c r="C22" s="9"/>
      <c r="D22" s="21" t="s">
        <v>46</v>
      </c>
      <c r="E22" s="9" t="str">
        <f ca="1">IFERROR(__xludf.DUMMYFUNCTION("GOOGLETRANSLATE(B22,""zh"",""vi"")"),"mặt sau")</f>
        <v>mặt sau</v>
      </c>
      <c r="F22" s="9" t="s">
        <v>60</v>
      </c>
      <c r="G22" s="9"/>
    </row>
    <row r="23" spans="1:7">
      <c r="A23" s="23">
        <v>22</v>
      </c>
      <c r="B23" s="21" t="s">
        <v>2686</v>
      </c>
      <c r="C23" s="9"/>
      <c r="D23" s="21" t="s">
        <v>2687</v>
      </c>
      <c r="E23" s="9" t="str">
        <f ca="1">IFERROR(__xludf.DUMMYFUNCTION("GOOGLETRANSLATE(B23,""zh"",""vi"")"),"Balo")</f>
        <v>Balo</v>
      </c>
      <c r="F23" s="9" t="s">
        <v>21</v>
      </c>
      <c r="G23" s="9"/>
    </row>
    <row r="24" spans="1:7">
      <c r="A24" s="23">
        <v>23</v>
      </c>
      <c r="B24" s="21" t="s">
        <v>2688</v>
      </c>
      <c r="C24" s="9"/>
      <c r="D24" s="21" t="s">
        <v>2689</v>
      </c>
      <c r="E24" s="9" t="str">
        <f ca="1">IFERROR(__xludf.DUMMYFUNCTION("GOOGLETRANSLATE(B24,""zh"",""vi"")"),"Phía bắc")</f>
        <v>Phía bắc</v>
      </c>
      <c r="F24" s="9" t="s">
        <v>87</v>
      </c>
      <c r="G24" s="9"/>
    </row>
    <row r="25" spans="1:7">
      <c r="A25" s="23">
        <v>24</v>
      </c>
      <c r="B25" s="21" t="s">
        <v>2690</v>
      </c>
      <c r="C25" s="9"/>
      <c r="D25" s="21" t="s">
        <v>2691</v>
      </c>
      <c r="E25" s="9" t="str">
        <f ca="1">IFERROR(__xludf.DUMMYFUNCTION("GOOGLETRANSLATE(B25,""zh"",""vi"")"),"ngu xuẩn")</f>
        <v>ngu xuẩn</v>
      </c>
      <c r="F25" s="9" t="s">
        <v>87</v>
      </c>
      <c r="G25" s="9"/>
    </row>
    <row r="26" spans="1:7">
      <c r="A26" s="23">
        <v>25</v>
      </c>
      <c r="B26" s="21" t="s">
        <v>2692</v>
      </c>
      <c r="C26" s="9"/>
      <c r="D26" s="21" t="s">
        <v>2693</v>
      </c>
      <c r="E26" s="9" t="str">
        <f ca="1">IFERROR(__xludf.DUMMYFUNCTION("GOOGLETRANSLATE(B26,""zh"",""vi"")"),"Đại học")</f>
        <v>Đại học</v>
      </c>
      <c r="F26" s="9" t="s">
        <v>7</v>
      </c>
      <c r="G26" s="9"/>
    </row>
    <row r="27" spans="1:7">
      <c r="A27" s="23">
        <v>26</v>
      </c>
      <c r="B27" s="21" t="s">
        <v>2694</v>
      </c>
      <c r="C27" s="9"/>
      <c r="D27" s="21" t="s">
        <v>2695</v>
      </c>
      <c r="E27" s="9" t="str">
        <f ca="1">IFERROR(__xludf.DUMMYFUNCTION("GOOGLETRANSLATE(B27,""zh"",""vi"")"),"ban đầu")</f>
        <v>ban đầu</v>
      </c>
      <c r="F27" s="9" t="s">
        <v>64</v>
      </c>
      <c r="G27" s="9"/>
    </row>
    <row r="28" spans="1:7">
      <c r="A28" s="23">
        <v>27</v>
      </c>
      <c r="B28" s="21" t="s">
        <v>2696</v>
      </c>
      <c r="C28" s="9"/>
      <c r="D28" s="21" t="s">
        <v>2697</v>
      </c>
      <c r="E28" s="9" t="str">
        <f ca="1">IFERROR(__xludf.DUMMYFUNCTION("GOOGLETRANSLATE(B28,""zh"",""vi"")"),"dễ dàng")</f>
        <v>dễ dàng</v>
      </c>
      <c r="F28" s="9" t="s">
        <v>107</v>
      </c>
      <c r="G28" s="9"/>
    </row>
    <row r="29" spans="1:7">
      <c r="A29" s="23">
        <v>28</v>
      </c>
      <c r="B29" s="21" t="s">
        <v>1236</v>
      </c>
      <c r="C29" s="9"/>
      <c r="D29" s="21" t="s">
        <v>2698</v>
      </c>
      <c r="E29" s="9" t="str">
        <f ca="1">IFERROR(__xludf.DUMMYFUNCTION("GOOGLETRANSLATE(B29,""zh"",""vi"")"),"bề mặt")</f>
        <v>bề mặt</v>
      </c>
      <c r="F29" s="9" t="s">
        <v>87</v>
      </c>
      <c r="G29" s="9"/>
    </row>
    <row r="30" spans="1:7">
      <c r="A30" s="23">
        <v>29</v>
      </c>
      <c r="B30" s="21" t="s">
        <v>2699</v>
      </c>
      <c r="C30" s="9"/>
      <c r="D30" s="21" t="s">
        <v>2700</v>
      </c>
      <c r="E30" s="9" t="str">
        <f ca="1">IFERROR(__xludf.DUMMYFUNCTION("GOOGLETRANSLATE(B30,""zh"",""vi"")"),"tờ giấy")</f>
        <v>tờ giấy</v>
      </c>
      <c r="F30" s="9" t="s">
        <v>87</v>
      </c>
      <c r="G30" s="9"/>
    </row>
    <row r="31" spans="1:7">
      <c r="A31" s="23">
        <v>30</v>
      </c>
      <c r="B31" s="21" t="s">
        <v>1237</v>
      </c>
      <c r="C31" s="9"/>
      <c r="D31" s="21" t="s">
        <v>2701</v>
      </c>
      <c r="E31" s="9" t="str">
        <f ca="1">IFERROR(__xludf.DUMMYFUNCTION("GOOGLETRANSLATE(B31,""zh"",""vi"")"),"thể hiện")</f>
        <v>thể hiện</v>
      </c>
      <c r="F31" s="9" t="s">
        <v>87</v>
      </c>
      <c r="G31" s="9"/>
    </row>
    <row r="32" spans="1:7">
      <c r="A32" s="23">
        <v>31</v>
      </c>
      <c r="B32" s="21" t="s">
        <v>2702</v>
      </c>
      <c r="C32" s="9"/>
      <c r="D32" s="21" t="s">
        <v>2703</v>
      </c>
      <c r="E32" s="9" t="str">
        <f ca="1">IFERROR(__xludf.DUMMYFUNCTION("GOOGLETRANSLATE(B32,""zh"",""vi"")"),"Hiệu suất")</f>
        <v>Hiệu suất</v>
      </c>
      <c r="F32" s="9" t="s">
        <v>87</v>
      </c>
      <c r="G32" s="9"/>
    </row>
    <row r="33" spans="1:7">
      <c r="A33" s="23">
        <v>32</v>
      </c>
      <c r="B33" s="21" t="s">
        <v>2704</v>
      </c>
      <c r="C33" s="9"/>
      <c r="D33" s="21" t="s">
        <v>2705</v>
      </c>
      <c r="E33" s="9" t="str">
        <f ca="1">IFERROR(__xludf.DUMMYFUNCTION("GOOGLETRANSLATE(B33,""zh"",""vi"")"),"khen")</f>
        <v>khen</v>
      </c>
      <c r="F33" s="9" t="s">
        <v>87</v>
      </c>
      <c r="G33" s="9"/>
    </row>
    <row r="34" spans="1:7">
      <c r="A34" s="23">
        <v>33</v>
      </c>
      <c r="B34" s="21" t="s">
        <v>2706</v>
      </c>
      <c r="C34" s="9"/>
      <c r="D34" s="21" t="s">
        <v>2707</v>
      </c>
      <c r="E34" s="9" t="str">
        <f ca="1">IFERROR(__xludf.DUMMYFUNCTION("GOOGLETRANSLATE(B34,""zh"",""vi"")"),"tiêu chuẩn")</f>
        <v>tiêu chuẩn</v>
      </c>
      <c r="F34" s="9" t="s">
        <v>87</v>
      </c>
      <c r="G34" s="9"/>
    </row>
    <row r="35" spans="1:7">
      <c r="A35" s="23">
        <v>34</v>
      </c>
      <c r="B35" s="21" t="s">
        <v>2708</v>
      </c>
      <c r="C35" s="9"/>
      <c r="D35" s="21" t="s">
        <v>63</v>
      </c>
      <c r="E35" s="9" t="str">
        <f ca="1">IFERROR(__xludf.DUMMYFUNCTION("GOOGLETRANSLATE(B35,""zh"",""vi"")"),"Và")</f>
        <v>Và</v>
      </c>
      <c r="F35" s="9" t="s">
        <v>87</v>
      </c>
      <c r="G35" s="9"/>
    </row>
    <row r="36" spans="1:7">
      <c r="A36" s="23">
        <v>35</v>
      </c>
      <c r="B36" s="21" t="s">
        <v>2709</v>
      </c>
      <c r="C36" s="9"/>
      <c r="D36" s="21" t="s">
        <v>2710</v>
      </c>
      <c r="E36" s="9" t="str">
        <f ca="1">IFERROR(__xludf.DUMMYFUNCTION("GOOGLETRANSLATE(B36,""zh"",""vi"")"),"bánh quy")</f>
        <v>bánh quy</v>
      </c>
      <c r="F36" s="9" t="s">
        <v>87</v>
      </c>
      <c r="G36" s="9"/>
    </row>
    <row r="37" spans="1:7">
      <c r="A37" s="23">
        <v>36</v>
      </c>
      <c r="B37" s="21" t="s">
        <v>2711</v>
      </c>
      <c r="C37" s="9"/>
      <c r="D37" s="21" t="s">
        <v>2712</v>
      </c>
      <c r="E37" s="9" t="str">
        <f ca="1">IFERROR(__xludf.DUMMYFUNCTION("GOOGLETRANSLATE(B37,""zh"",""vi"")"),"Và")</f>
        <v>Và</v>
      </c>
      <c r="F37" s="9" t="s">
        <v>87</v>
      </c>
      <c r="G37" s="9"/>
    </row>
    <row r="38" spans="1:7">
      <c r="A38" s="23">
        <v>37</v>
      </c>
      <c r="B38" s="21" t="s">
        <v>2713</v>
      </c>
      <c r="C38" s="9"/>
      <c r="D38" s="21" t="s">
        <v>2714</v>
      </c>
      <c r="E38" s="9" t="str">
        <f ca="1">IFERROR(__xludf.DUMMYFUNCTION("GOOGLETRANSLATE(B38,""zh"",""vi"")"),"kỳ thi viết")</f>
        <v>kỳ thi viết</v>
      </c>
      <c r="F38" s="9" t="s">
        <v>48</v>
      </c>
      <c r="G38" s="9"/>
    </row>
    <row r="39" spans="1:7">
      <c r="A39" s="23">
        <v>38</v>
      </c>
      <c r="B39" s="21" t="s">
        <v>2715</v>
      </c>
      <c r="C39" s="9"/>
      <c r="D39" s="21" t="s">
        <v>2716</v>
      </c>
      <c r="E39" s="9" t="str">
        <f ca="1">IFERROR(__xludf.DUMMYFUNCTION("GOOGLETRANSLATE(B39,""zh"",""vi"")"),"tốt nghiệp")</f>
        <v>tốt nghiệp</v>
      </c>
      <c r="F39" s="9" t="s">
        <v>115</v>
      </c>
      <c r="G39" s="9"/>
    </row>
    <row r="40" spans="1:7">
      <c r="A40" s="23">
        <v>39</v>
      </c>
      <c r="B40" s="21" t="s">
        <v>2717</v>
      </c>
      <c r="C40" s="9"/>
      <c r="D40" s="21" t="s">
        <v>2718</v>
      </c>
      <c r="E40" s="9" t="str">
        <f ca="1">IFERROR(__xludf.DUMMYFUNCTION("GOOGLETRANSLATE(B40,""zh"",""vi"")"),"tốt nghiệp")</f>
        <v>tốt nghiệp</v>
      </c>
      <c r="F40" s="9" t="s">
        <v>115</v>
      </c>
      <c r="G40" s="9"/>
    </row>
    <row r="41" spans="1:7">
      <c r="A41" s="23">
        <v>40</v>
      </c>
      <c r="B41" s="21" t="s">
        <v>2719</v>
      </c>
      <c r="C41" s="9"/>
      <c r="D41" s="21" t="s">
        <v>2720</v>
      </c>
      <c r="E41" s="9" t="str">
        <f ca="1">IFERROR(__xludf.DUMMYFUNCTION("GOOGLETRANSLATE(B41,""zh"",""vi"")"),"mũi")</f>
        <v>mũi</v>
      </c>
      <c r="F41" s="9" t="s">
        <v>64</v>
      </c>
      <c r="G41" s="9"/>
    </row>
    <row r="42" spans="1:7">
      <c r="A42" s="23">
        <v>41</v>
      </c>
      <c r="B42" s="21" t="s">
        <v>2721</v>
      </c>
      <c r="C42" s="9"/>
      <c r="D42" s="21" t="s">
        <v>2722</v>
      </c>
      <c r="E42" s="9" t="str">
        <f ca="1">IFERROR(__xludf.DUMMYFUNCTION("GOOGLETRANSLATE(B42,""zh"",""vi"")"),"Chơi")</f>
        <v>Chơi</v>
      </c>
      <c r="F42" s="9" t="s">
        <v>87</v>
      </c>
      <c r="G42" s="9"/>
    </row>
    <row r="43" spans="1:7">
      <c r="A43" s="23">
        <v>42</v>
      </c>
      <c r="B43" s="21" t="s">
        <v>2723</v>
      </c>
      <c r="C43" s="9"/>
      <c r="D43" s="21" t="s">
        <v>2724</v>
      </c>
      <c r="E43" s="9" t="str">
        <f ca="1">IFERROR(__xludf.DUMMYFUNCTION("GOOGLETRANSLATE(B43,""zh"",""vi"")"),"Tiến sĩ")</f>
        <v>Tiến sĩ</v>
      </c>
      <c r="F43" s="9" t="s">
        <v>87</v>
      </c>
      <c r="G43" s="9"/>
    </row>
    <row r="44" spans="1:7">
      <c r="A44" s="23">
        <v>43</v>
      </c>
      <c r="B44" s="21" t="s">
        <v>2725</v>
      </c>
      <c r="C44" s="9"/>
      <c r="D44" s="21" t="s">
        <v>78</v>
      </c>
      <c r="E44" s="9" t="str">
        <f ca="1">IFERROR(__xludf.DUMMYFUNCTION("GOOGLETRANSLATE(B44,""zh"",""vi"")"),"bước chân")</f>
        <v>bước chân</v>
      </c>
      <c r="F44" s="9" t="s">
        <v>64</v>
      </c>
      <c r="G44" s="9"/>
    </row>
    <row r="45" spans="1:7">
      <c r="A45" s="23">
        <v>44</v>
      </c>
      <c r="B45" s="21" t="s">
        <v>2726</v>
      </c>
      <c r="C45" s="9"/>
      <c r="D45" s="21" t="s">
        <v>78</v>
      </c>
      <c r="E45" s="9" t="str">
        <f ca="1">IFERROR(__xludf.DUMMYFUNCTION("GOOGLETRANSLATE(B45,""zh"",""vi"")"),"phòng")</f>
        <v>phòng</v>
      </c>
      <c r="F45" s="9" t="s">
        <v>90</v>
      </c>
      <c r="G45" s="9"/>
    </row>
    <row r="46" spans="1:7">
      <c r="A46" s="23">
        <v>45</v>
      </c>
      <c r="B46" s="21" t="s">
        <v>2727</v>
      </c>
      <c r="C46" s="9"/>
      <c r="D46" s="21" t="s">
        <v>2728</v>
      </c>
      <c r="E46" s="9" t="str">
        <f ca="1">IFERROR(__xludf.DUMMYFUNCTION("GOOGLETRANSLATE(B46,""zh"",""vi"")"),"Không cần")</f>
        <v>Không cần</v>
      </c>
      <c r="F46" s="9" t="s">
        <v>7</v>
      </c>
      <c r="G46" s="9"/>
    </row>
    <row r="47" spans="1:7">
      <c r="A47" s="23">
        <v>46</v>
      </c>
      <c r="B47" s="21" t="s">
        <v>2729</v>
      </c>
      <c r="C47" s="9"/>
      <c r="D47" s="21" t="s">
        <v>2730</v>
      </c>
      <c r="E47" s="9" t="str">
        <f ca="1">IFERROR(__xludf.DUMMYFUNCTION("GOOGLETRANSLATE(B47,""zh"",""vi"")"),"bất tiện")</f>
        <v>bất tiện</v>
      </c>
      <c r="F47" s="9" t="s">
        <v>87</v>
      </c>
      <c r="G47" s="9"/>
    </row>
    <row r="48" spans="1:7">
      <c r="A48" s="23">
        <v>47</v>
      </c>
      <c r="B48" s="21" t="s">
        <v>2731</v>
      </c>
      <c r="C48" s="9"/>
      <c r="D48" s="21" t="s">
        <v>2732</v>
      </c>
      <c r="E48" s="9" t="str">
        <f ca="1">IFERROR(__xludf.DUMMYFUNCTION("GOOGLETRANSLATE(B48,""zh"",""vi"")"),"phải")</f>
        <v>phải</v>
      </c>
      <c r="F48" s="9" t="s">
        <v>60</v>
      </c>
      <c r="G48" s="9"/>
    </row>
    <row r="49" spans="1:7">
      <c r="A49" s="23">
        <v>48</v>
      </c>
      <c r="B49" s="21" t="s">
        <v>2733</v>
      </c>
      <c r="C49" s="9"/>
      <c r="D49" s="21" t="s">
        <v>2734</v>
      </c>
      <c r="E49" s="9" t="str">
        <f ca="1">IFERROR(__xludf.DUMMYFUNCTION("GOOGLETRANSLATE(B49,""zh"",""vi"")"),"Liên tục")</f>
        <v>Liên tục</v>
      </c>
      <c r="F49" s="9" t="s">
        <v>87</v>
      </c>
      <c r="G49" s="9"/>
    </row>
    <row r="50" spans="1:7">
      <c r="A50" s="23">
        <v>49</v>
      </c>
      <c r="B50" s="21" t="s">
        <v>1245</v>
      </c>
      <c r="C50" s="9"/>
      <c r="D50" s="21" t="s">
        <v>2735</v>
      </c>
      <c r="E50" s="9" t="str">
        <f ca="1">IFERROR(__xludf.DUMMYFUNCTION("GOOGLETRANSLATE(B50,""zh"",""vi"")"),"phần")</f>
        <v>phần</v>
      </c>
      <c r="F50" s="9" t="s">
        <v>87</v>
      </c>
      <c r="G50" s="9"/>
    </row>
    <row r="51" spans="1:7">
      <c r="A51" s="23">
        <v>50</v>
      </c>
      <c r="B51" s="21" t="s">
        <v>1239</v>
      </c>
      <c r="C51" s="9"/>
      <c r="D51" s="21" t="s">
        <v>2736</v>
      </c>
      <c r="E51" s="9" t="str">
        <f ca="1">IFERROR(__xludf.DUMMYFUNCTION("GOOGLETRANSLATE(B51,""zh"",""vi"")"),"không đủ")</f>
        <v>không đủ</v>
      </c>
      <c r="F51" s="9" t="s">
        <v>7</v>
      </c>
      <c r="G51" s="9"/>
    </row>
    <row r="52" spans="1:7">
      <c r="A52" s="23">
        <v>51</v>
      </c>
      <c r="B52" s="21" t="s">
        <v>2737</v>
      </c>
      <c r="C52" s="9"/>
      <c r="D52" s="21" t="s">
        <v>2738</v>
      </c>
      <c r="E52" s="9" t="str">
        <f ca="1">IFERROR(__xludf.DUMMYFUNCTION("GOOGLETRANSLATE(B52,""zh"",""vi"")"),"mặc dù")</f>
        <v>mặc dù</v>
      </c>
      <c r="F52" s="9" t="s">
        <v>87</v>
      </c>
      <c r="G52" s="9"/>
    </row>
    <row r="53" spans="1:7">
      <c r="A53" s="23">
        <v>52</v>
      </c>
      <c r="B53" s="21" t="s">
        <v>2739</v>
      </c>
      <c r="C53" s="9"/>
      <c r="D53" s="21" t="s">
        <v>2740</v>
      </c>
      <c r="E53" s="9" t="str">
        <f ca="1">IFERROR(__xludf.DUMMYFUNCTION("GOOGLETRANSLATE(B53,""zh"",""vi"")"),"không chỉ")</f>
        <v>không chỉ</v>
      </c>
      <c r="F53" s="9" t="s">
        <v>7</v>
      </c>
      <c r="G53" s="9"/>
    </row>
    <row r="54" spans="1:7">
      <c r="A54" s="23">
        <v>53</v>
      </c>
      <c r="B54" s="21" t="s">
        <v>1240</v>
      </c>
      <c r="C54" s="9"/>
      <c r="D54" s="21" t="s">
        <v>2741</v>
      </c>
      <c r="E54" s="9" t="str">
        <f ca="1">IFERROR(__xludf.DUMMYFUNCTION("GOOGLETRANSLATE(B54,""zh"",""vi"")"),"Nhưng")</f>
        <v>Nhưng</v>
      </c>
      <c r="F54" s="9" t="s">
        <v>87</v>
      </c>
      <c r="G54" s="9"/>
    </row>
    <row r="55" spans="1:7">
      <c r="A55" s="23">
        <v>54</v>
      </c>
      <c r="B55" s="21" t="s">
        <v>2742</v>
      </c>
      <c r="C55" s="9"/>
      <c r="D55" s="21" t="s">
        <v>2743</v>
      </c>
      <c r="E55" s="9" t="str">
        <f ca="1">IFERROR(__xludf.DUMMYFUNCTION("GOOGLETRANSLATE(B55,""zh"",""vi"")"),"không chỉ")</f>
        <v>không chỉ</v>
      </c>
      <c r="F55" s="9" t="s">
        <v>7</v>
      </c>
      <c r="G55" s="9"/>
    </row>
    <row r="56" spans="1:7">
      <c r="A56" s="23">
        <v>55</v>
      </c>
      <c r="B56" s="21" t="s">
        <v>2744</v>
      </c>
      <c r="C56" s="9"/>
      <c r="D56" s="21" t="s">
        <v>2745</v>
      </c>
      <c r="E56" s="9" t="str">
        <f ca="1">IFERROR(__xludf.DUMMYFUNCTION("GOOGLETRANSLATE(B56,""zh"",""vi"")"),"liệu")</f>
        <v>liệu</v>
      </c>
      <c r="F56" s="9" t="s">
        <v>87</v>
      </c>
      <c r="G56" s="9"/>
    </row>
    <row r="57" spans="1:7">
      <c r="A57" s="23">
        <v>56</v>
      </c>
      <c r="B57" s="21" t="s">
        <v>1242</v>
      </c>
      <c r="C57" s="9"/>
      <c r="D57" s="21" t="s">
        <v>2746</v>
      </c>
      <c r="E57" s="9" t="str">
        <f ca="1">IFERROR(__xludf.DUMMYFUNCTION("GOOGLETRANSLATE(B57,""zh"",""vi"")"),"không hài lòng")</f>
        <v>không hài lòng</v>
      </c>
      <c r="F57" s="9" t="s">
        <v>7</v>
      </c>
      <c r="G57" s="9"/>
    </row>
    <row r="58" spans="1:7">
      <c r="A58" s="23">
        <v>57</v>
      </c>
      <c r="B58" s="21" t="s">
        <v>2747</v>
      </c>
      <c r="C58" s="9"/>
      <c r="D58" s="21" t="s">
        <v>2748</v>
      </c>
      <c r="E58" s="9" t="str">
        <f ca="1">IFERROR(__xludf.DUMMYFUNCTION("GOOGLETRANSLATE(B58,""zh"",""vi"")"),"phòng")</f>
        <v>phòng</v>
      </c>
      <c r="F58" s="9" t="s">
        <v>90</v>
      </c>
      <c r="G58" s="9"/>
    </row>
    <row r="59" spans="1:7">
      <c r="A59" s="23">
        <v>58</v>
      </c>
      <c r="B59" s="21" t="s">
        <v>1243</v>
      </c>
      <c r="C59" s="9"/>
      <c r="D59" s="21" t="s">
        <v>2749</v>
      </c>
      <c r="E59" s="9" t="str">
        <f ca="1">IFERROR(__xludf.DUMMYFUNCTION("GOOGLETRANSLATE(B59,""zh"",""vi"")"),"Tốt hơn")</f>
        <v>Tốt hơn</v>
      </c>
      <c r="F59" s="9" t="s">
        <v>107</v>
      </c>
      <c r="G59" s="9"/>
    </row>
    <row r="60" spans="1:7">
      <c r="A60" s="23">
        <v>59</v>
      </c>
      <c r="B60" s="21" t="s">
        <v>2750</v>
      </c>
      <c r="C60" s="9"/>
      <c r="D60" s="21" t="s">
        <v>2751</v>
      </c>
      <c r="E60" s="9" t="str">
        <f ca="1">IFERROR(__xludf.DUMMYFUNCTION("GOOGLETRANSLATE(B60,""zh"",""vi"")"),"lau đi")</f>
        <v>lau đi</v>
      </c>
      <c r="F60" s="9" t="s">
        <v>94</v>
      </c>
      <c r="G60" s="9"/>
    </row>
    <row r="61" spans="1:7">
      <c r="A61" s="23">
        <v>60</v>
      </c>
      <c r="B61" s="21" t="s">
        <v>2752</v>
      </c>
      <c r="C61" s="9"/>
      <c r="D61" s="21" t="s">
        <v>2753</v>
      </c>
      <c r="E61" s="9" t="str">
        <f ca="1">IFERROR(__xludf.DUMMYFUNCTION("GOOGLETRANSLATE(B61,""zh"",""vi"")"),"Đoán")</f>
        <v>Đoán</v>
      </c>
      <c r="F61" s="9" t="s">
        <v>87</v>
      </c>
      <c r="G61" s="9"/>
    </row>
    <row r="62" spans="1:7">
      <c r="A62" s="23">
        <v>61</v>
      </c>
      <c r="B62" s="21" t="s">
        <v>2754</v>
      </c>
      <c r="C62" s="9"/>
      <c r="D62" s="21" t="s">
        <v>2755</v>
      </c>
      <c r="E62" s="9" t="str">
        <f ca="1">IFERROR(__xludf.DUMMYFUNCTION("GOOGLETRANSLATE(B62,""zh"",""vi"")"),"Vật liệu")</f>
        <v>Vật liệu</v>
      </c>
      <c r="F62" s="9" t="s">
        <v>87</v>
      </c>
      <c r="G62" s="9"/>
    </row>
    <row r="63" spans="1:7">
      <c r="A63" s="23">
        <v>62</v>
      </c>
      <c r="B63" s="21" t="s">
        <v>1247</v>
      </c>
      <c r="C63" s="9"/>
      <c r="D63" s="21" t="s">
        <v>2756</v>
      </c>
      <c r="E63" s="9" t="str">
        <f ca="1">IFERROR(__xludf.DUMMYFUNCTION("GOOGLETRANSLATE(B63,""zh"",""vi"")"),"thăm nom")</f>
        <v>thăm nom</v>
      </c>
      <c r="F63" s="9" t="s">
        <v>87</v>
      </c>
      <c r="G63" s="9"/>
    </row>
    <row r="64" spans="1:7">
      <c r="A64" s="23">
        <v>63</v>
      </c>
      <c r="B64" s="21" t="s">
        <v>2757</v>
      </c>
      <c r="C64" s="9"/>
      <c r="D64" s="21" t="s">
        <v>2758</v>
      </c>
      <c r="E64" s="9" t="str">
        <f ca="1">IFERROR(__xludf.DUMMYFUNCTION("GOOGLETRANSLATE(B64,""zh"",""vi"")"),"Cuộc thi")</f>
        <v>Cuộc thi</v>
      </c>
      <c r="F64" s="9" t="s">
        <v>87</v>
      </c>
      <c r="G64" s="9"/>
    </row>
    <row r="65" spans="1:7">
      <c r="A65" s="23">
        <v>64</v>
      </c>
      <c r="B65" s="21" t="s">
        <v>2759</v>
      </c>
      <c r="C65" s="9"/>
      <c r="D65" s="21" t="s">
        <v>2760</v>
      </c>
      <c r="E65" s="9" t="str">
        <f ca="1">IFERROR(__xludf.DUMMYFUNCTION("GOOGLETRANSLATE(B65,""zh"",""vi"")"),"Phòng ăn")</f>
        <v>Phòng ăn</v>
      </c>
      <c r="F65" s="9" t="s">
        <v>87</v>
      </c>
      <c r="G65" s="9"/>
    </row>
    <row r="66" spans="1:7">
      <c r="A66" s="23">
        <v>65</v>
      </c>
      <c r="B66" s="21" t="s">
        <v>2761</v>
      </c>
      <c r="C66" s="9"/>
      <c r="D66" s="21" t="s">
        <v>2762</v>
      </c>
      <c r="E66" s="9" t="str">
        <f ca="1">IFERROR(__xludf.DUMMYFUNCTION("GOOGLETRANSLATE(B66,""zh"",""vi"")"),"sân chơi")</f>
        <v>sân chơi</v>
      </c>
      <c r="F66" s="9" t="s">
        <v>87</v>
      </c>
      <c r="G66" s="9"/>
    </row>
    <row r="67" spans="1:7">
      <c r="A67" s="23">
        <v>66</v>
      </c>
      <c r="B67" s="21" t="s">
        <v>2763</v>
      </c>
      <c r="C67" s="9"/>
      <c r="D67" s="21" t="s">
        <v>2764</v>
      </c>
      <c r="E67" s="9" t="str">
        <f ca="1">IFERROR(__xludf.DUMMYFUNCTION("GOOGLETRANSLATE(B67,""zh"",""vi"")"),"phòng tắm")</f>
        <v>phòng tắm</v>
      </c>
      <c r="F67" s="9" t="s">
        <v>87</v>
      </c>
      <c r="G67" s="9"/>
    </row>
    <row r="68" spans="1:7">
      <c r="A68" s="23">
        <v>67</v>
      </c>
      <c r="B68" s="21" t="s">
        <v>2765</v>
      </c>
      <c r="C68" s="9"/>
      <c r="D68" s="21" t="s">
        <v>2766</v>
      </c>
      <c r="E68" s="9" t="str">
        <f ca="1">IFERROR(__xludf.DUMMYFUNCTION("GOOGLETRANSLATE(B68,""zh"",""vi"")"),"Kiểm tra")</f>
        <v>Kiểm tra</v>
      </c>
      <c r="F68" s="9" t="s">
        <v>150</v>
      </c>
      <c r="G68" s="9"/>
    </row>
    <row r="69" spans="1:7">
      <c r="A69" s="23">
        <v>68</v>
      </c>
      <c r="B69" s="21" t="s">
        <v>2767</v>
      </c>
      <c r="C69" s="9"/>
      <c r="D69" s="21" t="s">
        <v>2768</v>
      </c>
      <c r="E69" s="9" t="str">
        <f ca="1">IFERROR(__xludf.DUMMYFUNCTION("GOOGLETRANSLATE(B69,""zh"",""vi"")"),"nhà máy")</f>
        <v>nhà máy</v>
      </c>
      <c r="F69" s="9" t="s">
        <v>48</v>
      </c>
      <c r="G69" s="9"/>
    </row>
    <row r="70" spans="1:7">
      <c r="A70" s="23">
        <v>69</v>
      </c>
      <c r="B70" s="21" t="s">
        <v>1256</v>
      </c>
      <c r="C70" s="9"/>
      <c r="D70" s="21" t="s">
        <v>2768</v>
      </c>
      <c r="E70" s="9" t="str">
        <f ca="1">IFERROR(__xludf.DUMMYFUNCTION("GOOGLETRANSLATE(B70,""zh"",""vi"")"),"cánh đồng")</f>
        <v>cánh đồng</v>
      </c>
      <c r="F70" s="9" t="s">
        <v>87</v>
      </c>
      <c r="G70" s="9"/>
    </row>
    <row r="71" spans="1:7">
      <c r="A71" s="23">
        <v>70</v>
      </c>
      <c r="B71" s="21" t="s">
        <v>2769</v>
      </c>
      <c r="C71" s="9"/>
      <c r="D71" s="21" t="s">
        <v>2770</v>
      </c>
      <c r="E71" s="9" t="str">
        <f ca="1">IFERROR(__xludf.DUMMYFUNCTION("GOOGLETRANSLATE(B71,""zh"",""vi"")"),"sản xuất")</f>
        <v>sản xuất</v>
      </c>
      <c r="F71" s="9" t="s">
        <v>87</v>
      </c>
      <c r="G71" s="9"/>
    </row>
    <row r="72" spans="1:7">
      <c r="A72" s="23">
        <v>71</v>
      </c>
      <c r="B72" s="21" t="s">
        <v>1257</v>
      </c>
      <c r="C72" s="9"/>
      <c r="D72" s="21" t="s">
        <v>2771</v>
      </c>
      <c r="E72" s="9" t="str">
        <f ca="1">IFERROR(__xludf.DUMMYFUNCTION("GOOGLETRANSLATE(B72,""zh"",""vi"")"),"Quá")</f>
        <v>Quá</v>
      </c>
      <c r="F72" s="9" t="s">
        <v>87</v>
      </c>
      <c r="G72" s="9"/>
    </row>
    <row r="73" spans="1:7">
      <c r="A73" s="23">
        <v>72</v>
      </c>
      <c r="B73" s="21" t="s">
        <v>2772</v>
      </c>
      <c r="C73" s="9"/>
      <c r="D73" s="21" t="s">
        <v>2773</v>
      </c>
      <c r="E73" s="9" t="str">
        <f ca="1">IFERROR(__xludf.DUMMYFUNCTION("GOOGLETRANSLATE(B73,""zh"",""vi"")"),"trà")</f>
        <v>trà</v>
      </c>
      <c r="F73" s="9" t="s">
        <v>87</v>
      </c>
      <c r="G73" s="9"/>
    </row>
    <row r="74" spans="1:7">
      <c r="A74" s="23">
        <v>73</v>
      </c>
      <c r="B74" s="21" t="s">
        <v>2774</v>
      </c>
      <c r="C74" s="9"/>
      <c r="D74" s="21" t="s">
        <v>2775</v>
      </c>
      <c r="E74" s="9" t="str">
        <f ca="1">IFERROR(__xludf.DUMMYFUNCTION("GOOGLETRANSLATE(B74,""zh"",""vi"")"),"Hầu hết")</f>
        <v>Hầu hết</v>
      </c>
      <c r="F74" s="9" t="s">
        <v>87</v>
      </c>
      <c r="G74" s="9"/>
    </row>
    <row r="75" spans="1:7">
      <c r="A75" s="23">
        <v>74</v>
      </c>
      <c r="B75" s="21" t="s">
        <v>2776</v>
      </c>
      <c r="C75" s="9"/>
      <c r="D75" s="21" t="s">
        <v>2777</v>
      </c>
      <c r="E75" s="9" t="str">
        <f ca="1">IFERROR(__xludf.DUMMYFUNCTION("GOOGLETRANSLATE(B75,""zh"",""vi"")"),"Tìm kiếm")</f>
        <v>Tìm kiếm</v>
      </c>
      <c r="F75" s="9" t="s">
        <v>87</v>
      </c>
      <c r="G75" s="9"/>
    </row>
    <row r="76" spans="1:7">
      <c r="A76" s="23">
        <v>75</v>
      </c>
      <c r="B76" s="21" t="s">
        <v>2778</v>
      </c>
      <c r="C76" s="9"/>
      <c r="D76" s="21" t="s">
        <v>2779</v>
      </c>
      <c r="E76" s="9" t="str">
        <f ca="1">IFERROR(__xludf.DUMMYFUNCTION("GOOGLETRANSLATE(B76,""zh"",""vi"")"),"thành phố")</f>
        <v>thành phố</v>
      </c>
      <c r="F76" s="9" t="s">
        <v>90</v>
      </c>
      <c r="G76" s="9"/>
    </row>
    <row r="77" spans="1:7">
      <c r="A77" s="23">
        <v>76</v>
      </c>
      <c r="B77" s="21" t="s">
        <v>2780</v>
      </c>
      <c r="C77" s="9"/>
      <c r="D77" s="21" t="s">
        <v>2779</v>
      </c>
      <c r="E77" s="9" t="str">
        <f ca="1">IFERROR(__xludf.DUMMYFUNCTION("GOOGLETRANSLATE(B77,""zh"",""vi"")"),"lấy")</f>
        <v>lấy</v>
      </c>
      <c r="F77" s="9" t="s">
        <v>87</v>
      </c>
      <c r="G77" s="9"/>
    </row>
    <row r="78" spans="1:7">
      <c r="A78" s="23">
        <v>77</v>
      </c>
      <c r="B78" s="21" t="s">
        <v>2781</v>
      </c>
      <c r="C78" s="9"/>
      <c r="D78" s="21" t="s">
        <v>2782</v>
      </c>
      <c r="E78" s="9" t="str">
        <f ca="1">IFERROR(__xludf.DUMMYFUNCTION("GOOGLETRANSLATE(B78,""zh"",""vi"")"),"thành công")</f>
        <v>thành công</v>
      </c>
      <c r="F78" s="9" t="s">
        <v>7</v>
      </c>
      <c r="G78" s="9"/>
    </row>
    <row r="79" spans="1:7">
      <c r="A79" s="23">
        <v>78</v>
      </c>
      <c r="B79" s="21" t="s">
        <v>2783</v>
      </c>
      <c r="C79" s="9"/>
      <c r="D79" s="21" t="s">
        <v>2784</v>
      </c>
      <c r="E79" s="9" t="str">
        <f ca="1">IFERROR(__xludf.DUMMYFUNCTION("GOOGLETRANSLATE(B79,""zh"",""vi"")"),"hành khách")</f>
        <v>hành khách</v>
      </c>
      <c r="F79" s="9" t="s">
        <v>7</v>
      </c>
      <c r="G79" s="9"/>
    </row>
    <row r="80" spans="1:7">
      <c r="A80" s="23">
        <v>79</v>
      </c>
      <c r="B80" s="21" t="s">
        <v>2785</v>
      </c>
      <c r="C80" s="9"/>
      <c r="D80" s="21" t="s">
        <v>2786</v>
      </c>
      <c r="E80" s="9" t="str">
        <f ca="1">IFERROR(__xludf.DUMMYFUNCTION("GOOGLETRANSLATE(B80,""zh"",""vi"")"),"trung thực")</f>
        <v>trung thực</v>
      </c>
      <c r="F80" s="9" t="s">
        <v>87</v>
      </c>
      <c r="G80" s="9"/>
    </row>
    <row r="81" spans="1:7">
      <c r="A81" s="23">
        <v>80</v>
      </c>
      <c r="B81" s="21" t="s">
        <v>1259</v>
      </c>
      <c r="C81" s="9"/>
      <c r="D81" s="21" t="s">
        <v>2787</v>
      </c>
      <c r="E81" s="9" t="str">
        <f ca="1">IFERROR(__xludf.DUMMYFUNCTION("GOOGLETRANSLATE(B81,""zh"",""vi"")"),"trở nên")</f>
        <v>trở nên</v>
      </c>
      <c r="F81" s="9" t="s">
        <v>87</v>
      </c>
      <c r="G81" s="9"/>
    </row>
    <row r="82" spans="1:7">
      <c r="A82" s="23">
        <v>81</v>
      </c>
      <c r="B82" s="21" t="s">
        <v>2788</v>
      </c>
      <c r="C82" s="9"/>
      <c r="D82" s="21" t="s">
        <v>2789</v>
      </c>
      <c r="E82" s="9" t="str">
        <f ca="1">IFERROR(__xludf.DUMMYFUNCTION("GOOGLETRANSLATE(B82,""zh"",""vi"")"),"lái")</f>
        <v>lái</v>
      </c>
      <c r="F82" s="9" t="s">
        <v>94</v>
      </c>
      <c r="G82" s="9"/>
    </row>
    <row r="83" spans="1:7">
      <c r="A83" s="23">
        <v>82</v>
      </c>
      <c r="B83" s="21" t="s">
        <v>2790</v>
      </c>
      <c r="C83" s="9"/>
      <c r="D83" s="21" t="s">
        <v>2791</v>
      </c>
      <c r="E83" s="9" t="str">
        <f ca="1">IFERROR(__xludf.DUMMYFUNCTION("GOOGLETRANSLATE(B83,""zh"",""vi"")"),"Tốc độ")</f>
        <v>Tốc độ</v>
      </c>
      <c r="F83" s="9" t="s">
        <v>87</v>
      </c>
      <c r="G83" s="9"/>
    </row>
    <row r="84" spans="1:7">
      <c r="A84" s="23">
        <v>83</v>
      </c>
      <c r="B84" s="21" t="s">
        <v>2792</v>
      </c>
      <c r="C84" s="9"/>
      <c r="D84" s="21" t="s">
        <v>2793</v>
      </c>
      <c r="E84" s="9" t="str">
        <f ca="1">IFERROR(__xludf.DUMMYFUNCTION("GOOGLETRANSLATE(B84,""zh"",""vi"")"),"chỗ đậu xe")</f>
        <v>chỗ đậu xe</v>
      </c>
      <c r="F84" s="9" t="s">
        <v>94</v>
      </c>
      <c r="G84" s="9"/>
    </row>
    <row r="85" spans="1:7">
      <c r="A85" s="23">
        <v>84</v>
      </c>
      <c r="B85" s="21" t="s">
        <v>2794</v>
      </c>
      <c r="C85" s="9"/>
      <c r="D85" s="21" t="s">
        <v>2795</v>
      </c>
      <c r="E85" s="9" t="str">
        <f ca="1">IFERROR(__xludf.DUMMYFUNCTION("GOOGLETRANSLATE(B85,""zh"",""vi"")"),"Muộn")</f>
        <v>Muộn</v>
      </c>
      <c r="F85" s="9" t="s">
        <v>87</v>
      </c>
      <c r="G85" s="9"/>
    </row>
    <row r="86" spans="1:7">
      <c r="A86" s="23">
        <v>85</v>
      </c>
      <c r="B86" s="21" t="s">
        <v>2796</v>
      </c>
      <c r="C86" s="9"/>
      <c r="D86" s="21" t="s">
        <v>2797</v>
      </c>
      <c r="E86" s="9" t="str">
        <f ca="1">IFERROR(__xludf.DUMMYFUNCTION("GOOGLETRANSLATE(B86,""zh"",""vi"")"),"Ngạc nhiên")</f>
        <v>Ngạc nhiên</v>
      </c>
      <c r="F86" s="9" t="s">
        <v>87</v>
      </c>
      <c r="G86" s="9"/>
    </row>
    <row r="87" spans="1:7">
      <c r="A87" s="23">
        <v>86</v>
      </c>
      <c r="B87" s="21" t="s">
        <v>2798</v>
      </c>
      <c r="C87" s="9"/>
      <c r="D87" s="21" t="s">
        <v>2799</v>
      </c>
      <c r="E87" s="9" t="str">
        <f ca="1">IFERROR(__xludf.DUMMYFUNCTION("GOOGLETRANSLATE(B87,""zh"",""vi"")"),"Nặng")</f>
        <v>Nặng</v>
      </c>
      <c r="F87" s="9" t="s">
        <v>87</v>
      </c>
      <c r="G87" s="9"/>
    </row>
    <row r="88" spans="1:7">
      <c r="A88" s="23">
        <v>87</v>
      </c>
      <c r="B88" s="21" t="s">
        <v>1260</v>
      </c>
      <c r="C88" s="9"/>
      <c r="D88" s="21" t="s">
        <v>2800</v>
      </c>
      <c r="E88" s="9" t="str">
        <f ca="1">IFERROR(__xludf.DUMMYFUNCTION("GOOGLETRANSLATE(B88,""zh"",""vi"")"),"lại")</f>
        <v>lại</v>
      </c>
      <c r="F88" s="9" t="s">
        <v>87</v>
      </c>
      <c r="G88" s="9"/>
    </row>
    <row r="89" spans="1:7">
      <c r="A89" s="23">
        <v>88</v>
      </c>
      <c r="B89" s="21" t="s">
        <v>2801</v>
      </c>
      <c r="C89" s="9"/>
      <c r="D89" s="21" t="s">
        <v>2802</v>
      </c>
      <c r="E89" s="9" t="str">
        <f ca="1">IFERROR(__xludf.DUMMYFUNCTION("GOOGLETRANSLATE(B89,""zh"",""vi"")"),"cửa sổ")</f>
        <v>cửa sổ</v>
      </c>
      <c r="F89" s="9" t="s">
        <v>90</v>
      </c>
      <c r="G89" s="9"/>
    </row>
    <row r="90" spans="1:7">
      <c r="A90" s="23">
        <v>89</v>
      </c>
      <c r="B90" s="21" t="s">
        <v>2803</v>
      </c>
      <c r="C90" s="9"/>
      <c r="D90" s="21" t="s">
        <v>2804</v>
      </c>
      <c r="E90" s="9" t="str">
        <f ca="1">IFERROR(__xludf.DUMMYFUNCTION("GOOGLETRANSLATE(B90,""zh"",""vi"")"),"cửa sổ")</f>
        <v>cửa sổ</v>
      </c>
      <c r="F90" s="9" t="s">
        <v>90</v>
      </c>
      <c r="G90" s="9"/>
    </row>
    <row r="91" spans="1:7">
      <c r="A91" s="23">
        <v>90</v>
      </c>
      <c r="B91" s="21" t="s">
        <v>2805</v>
      </c>
      <c r="C91" s="9"/>
      <c r="D91" s="21" t="s">
        <v>2806</v>
      </c>
      <c r="E91" s="9" t="str">
        <f ca="1">IFERROR(__xludf.DUMMYFUNCTION("GOOGLETRANSLATE(B91,""zh"",""vi"")"),"Đang đi công tác")</f>
        <v>Đang đi công tác</v>
      </c>
      <c r="F91" s="9" t="s">
        <v>7</v>
      </c>
      <c r="G91" s="9"/>
    </row>
    <row r="92" spans="1:7">
      <c r="A92" s="23">
        <v>91</v>
      </c>
      <c r="B92" s="21" t="s">
        <v>2807</v>
      </c>
      <c r="C92" s="9"/>
      <c r="D92" s="21" t="s">
        <v>2808</v>
      </c>
      <c r="E92" s="9" t="str">
        <f ca="1">IFERROR(__xludf.DUMMYFUNCTION("GOOGLETRANSLATE(B92,""zh"",""vi"")"),"phòng bếp")</f>
        <v>phòng bếp</v>
      </c>
      <c r="F92" s="9" t="s">
        <v>90</v>
      </c>
      <c r="G92" s="9"/>
    </row>
    <row r="93" spans="1:7">
      <c r="A93" s="23">
        <v>92</v>
      </c>
      <c r="B93" s="21" t="s">
        <v>1267</v>
      </c>
      <c r="C93" s="9"/>
      <c r="D93" s="21" t="s">
        <v>2809</v>
      </c>
      <c r="E93" s="9" t="str">
        <f ca="1">IFERROR(__xludf.DUMMYFUNCTION("GOOGLETRANSLATE(B93,""zh"",""vi"")"),"thổi")</f>
        <v>thổi</v>
      </c>
      <c r="F93" s="9" t="s">
        <v>87</v>
      </c>
      <c r="G93" s="9"/>
    </row>
    <row r="94" spans="1:7">
      <c r="A94" s="23">
        <v>93</v>
      </c>
      <c r="B94" s="21" t="s">
        <v>2810</v>
      </c>
      <c r="C94" s="9"/>
      <c r="D94" s="21" t="s">
        <v>2811</v>
      </c>
      <c r="E94" s="9" t="str">
        <f ca="1">IFERROR(__xludf.DUMMYFUNCTION("GOOGLETRANSLATE(B94,""zh"",""vi"")"),"ra")</f>
        <v>ra</v>
      </c>
      <c r="F94" s="9" t="s">
        <v>87</v>
      </c>
      <c r="G94" s="9"/>
    </row>
    <row r="95" spans="1:7">
      <c r="A95" s="23">
        <v>94</v>
      </c>
      <c r="B95" s="21" t="s">
        <v>2812</v>
      </c>
      <c r="C95" s="9"/>
      <c r="D95" s="21" t="s">
        <v>2813</v>
      </c>
      <c r="E95" s="9" t="str">
        <f ca="1">IFERROR(__xludf.DUMMYFUNCTION("GOOGLETRANSLATE(B95,""zh"",""vi"")"),"đầu bếp")</f>
        <v>đầu bếp</v>
      </c>
      <c r="F95" s="9" t="s">
        <v>64</v>
      </c>
      <c r="G95" s="9"/>
    </row>
    <row r="96" spans="1:7">
      <c r="A96" s="23">
        <v>95</v>
      </c>
      <c r="B96" s="21" t="s">
        <v>1263</v>
      </c>
      <c r="C96" s="9"/>
      <c r="D96" s="21" t="s">
        <v>2814</v>
      </c>
      <c r="E96" s="9" t="str">
        <f ca="1">IFERROR(__xludf.DUMMYFUNCTION("GOOGLETRANSLATE(B96,""zh"",""vi"")"),"Xuất hiện")</f>
        <v>Xuất hiện</v>
      </c>
      <c r="F96" s="9" t="s">
        <v>87</v>
      </c>
      <c r="G96" s="9"/>
    </row>
    <row r="97" spans="1:7">
      <c r="A97" s="23">
        <v>96</v>
      </c>
      <c r="B97" s="21" t="s">
        <v>2815</v>
      </c>
      <c r="C97" s="9"/>
      <c r="D97" s="21" t="s">
        <v>2816</v>
      </c>
      <c r="E97" s="9" t="str">
        <f ca="1">IFERROR(__xludf.DUMMYFUNCTION("GOOGLETRANSLATE(B97,""zh"",""vi"")"),"du lịch")</f>
        <v>du lịch</v>
      </c>
      <c r="F97" s="9" t="s">
        <v>87</v>
      </c>
      <c r="G97" s="9"/>
    </row>
    <row r="98" spans="1:7">
      <c r="A98" s="23">
        <v>97</v>
      </c>
      <c r="B98" s="21" t="s">
        <v>1265</v>
      </c>
      <c r="C98" s="9"/>
      <c r="D98" s="21" t="s">
        <v>2817</v>
      </c>
      <c r="E98" s="9" t="str">
        <f ca="1">IFERROR(__xludf.DUMMYFUNCTION("GOOGLETRANSLATE(B98,""zh"",""vi"")"),"thuê")</f>
        <v>thuê</v>
      </c>
      <c r="F98" s="9" t="s">
        <v>34</v>
      </c>
      <c r="G98" s="9"/>
    </row>
    <row r="99" spans="1:7">
      <c r="A99" s="23">
        <v>98</v>
      </c>
      <c r="B99" s="21" t="s">
        <v>2818</v>
      </c>
      <c r="C99" s="9"/>
      <c r="D99" s="21" t="s">
        <v>2819</v>
      </c>
      <c r="E99" s="9" t="str">
        <f ca="1">IFERROR(__xludf.DUMMYFUNCTION("GOOGLETRANSLATE(B99,""zh"",""vi"")"),"cái này")</f>
        <v>cái này</v>
      </c>
      <c r="F99" s="9" t="s">
        <v>87</v>
      </c>
      <c r="G99" s="9"/>
    </row>
    <row r="100" spans="1:7">
      <c r="A100" s="23">
        <v>99</v>
      </c>
      <c r="B100" s="21" t="s">
        <v>2820</v>
      </c>
      <c r="C100" s="9"/>
      <c r="D100" s="21" t="s">
        <v>2821</v>
      </c>
      <c r="E100" s="9" t="str">
        <f ca="1">IFERROR(__xludf.DUMMYFUNCTION("GOOGLETRANSLATE(B100,""zh"",""vi"")"),"Lần này")</f>
        <v>Lần này</v>
      </c>
      <c r="F100" s="9" t="s">
        <v>87</v>
      </c>
      <c r="G100" s="9"/>
    </row>
    <row r="101" spans="1:7">
      <c r="A101" s="23">
        <v>100</v>
      </c>
      <c r="B101" s="21" t="s">
        <v>2822</v>
      </c>
      <c r="C101" s="9"/>
      <c r="D101" s="21" t="s">
        <v>2823</v>
      </c>
      <c r="E101" s="9" t="str">
        <f ca="1">IFERROR(__xludf.DUMMYFUNCTION("GOOGLETRANSLATE(B101,""zh"",""vi"")"),"Mà còn")</f>
        <v>Mà còn</v>
      </c>
      <c r="F101" s="9" t="s">
        <v>87</v>
      </c>
      <c r="G101" s="9"/>
    </row>
    <row r="102" spans="1:7">
      <c r="A102" s="23">
        <v>101</v>
      </c>
      <c r="B102" s="21" t="s">
        <v>1270</v>
      </c>
      <c r="C102" s="9"/>
      <c r="D102" s="21" t="s">
        <v>2824</v>
      </c>
      <c r="E102" s="9" t="str">
        <f ca="1">IFERROR(__xludf.DUMMYFUNCTION("GOOGLETRANSLATE(B102,""zh"",""vi"")"),"từ")</f>
        <v>từ</v>
      </c>
      <c r="F102" s="9" t="s">
        <v>87</v>
      </c>
      <c r="G102" s="9"/>
    </row>
    <row r="103" spans="1:7">
      <c r="A103" s="23">
        <v>102</v>
      </c>
      <c r="B103" s="21" t="s">
        <v>2825</v>
      </c>
      <c r="C103" s="9"/>
      <c r="D103" s="21" t="s">
        <v>2826</v>
      </c>
      <c r="E103" s="9" t="str">
        <f ca="1">IFERROR(__xludf.DUMMYFUNCTION("GOOGLETRANSLATE(B103,""zh"",""vi"")"),"Từ đó trở đi")</f>
        <v>Từ đó trở đi</v>
      </c>
      <c r="F103" s="9" t="s">
        <v>94</v>
      </c>
      <c r="G103" s="9"/>
    </row>
    <row r="104" spans="1:7">
      <c r="A104" s="23">
        <v>103</v>
      </c>
      <c r="B104" s="21" t="s">
        <v>2827</v>
      </c>
      <c r="C104" s="9"/>
      <c r="D104" s="21" t="s">
        <v>2828</v>
      </c>
      <c r="E104" s="9" t="str">
        <f ca="1">IFERROR(__xludf.DUMMYFUNCTION("GOOGLETRANSLATE(B104,""zh"",""vi"")"),"Không bao giờ")</f>
        <v>Không bao giờ</v>
      </c>
      <c r="F104" s="9" t="s">
        <v>34</v>
      </c>
      <c r="G104" s="9"/>
    </row>
    <row r="105" spans="1:7">
      <c r="A105" s="23">
        <v>104</v>
      </c>
      <c r="B105" s="21" t="s">
        <v>2829</v>
      </c>
      <c r="C105" s="9"/>
      <c r="D105" s="21" t="s">
        <v>2830</v>
      </c>
      <c r="E105" s="9" t="str">
        <f ca="1">IFERROR(__xludf.DUMMYFUNCTION("GOOGLETRANSLATE(B105,""zh"",""vi"")"),"từ")</f>
        <v>từ</v>
      </c>
      <c r="F105" s="9" t="s">
        <v>87</v>
      </c>
      <c r="G105" s="9"/>
    </row>
    <row r="106" spans="1:7">
      <c r="A106" s="23">
        <v>105</v>
      </c>
      <c r="B106" s="21" t="s">
        <v>2831</v>
      </c>
      <c r="C106" s="9"/>
      <c r="D106" s="21" t="s">
        <v>2832</v>
      </c>
      <c r="E106" s="9" t="str">
        <f ca="1">IFERROR(__xludf.DUMMYFUNCTION("GOOGLETRANSLATE(B106,""zh"",""vi"")"),"dày")</f>
        <v>dày</v>
      </c>
      <c r="F106" s="9" t="s">
        <v>87</v>
      </c>
      <c r="G106" s="9"/>
    </row>
    <row r="107" spans="1:7">
      <c r="A107" s="23">
        <v>106</v>
      </c>
      <c r="B107" s="21" t="s">
        <v>2833</v>
      </c>
      <c r="C107" s="9"/>
      <c r="D107" s="21" t="s">
        <v>2834</v>
      </c>
      <c r="E107" s="9" t="str">
        <f ca="1">IFERROR(__xludf.DUMMYFUNCTION("GOOGLETRANSLATE(B107,""zh"",""vi"")"),"sống")</f>
        <v>sống</v>
      </c>
      <c r="F107" s="9" t="s">
        <v>21</v>
      </c>
      <c r="G107" s="9"/>
    </row>
    <row r="108" spans="1:7">
      <c r="A108" s="23">
        <v>107</v>
      </c>
      <c r="B108" s="21" t="s">
        <v>2835</v>
      </c>
      <c r="C108" s="9"/>
      <c r="D108" s="21" t="s">
        <v>2836</v>
      </c>
      <c r="E108" s="9" t="str">
        <f ca="1">IFERROR(__xludf.DUMMYFUNCTION("GOOGLETRANSLATE(B108,""zh"",""vi"")"),"làng bản")</f>
        <v>làng bản</v>
      </c>
      <c r="F108" s="9" t="s">
        <v>87</v>
      </c>
      <c r="G108" s="9"/>
    </row>
    <row r="109" spans="1:7">
      <c r="A109" s="23">
        <v>108</v>
      </c>
      <c r="B109" s="21" t="s">
        <v>2837</v>
      </c>
      <c r="C109" s="9"/>
      <c r="D109" s="21" t="s">
        <v>2838</v>
      </c>
      <c r="E109" s="9" t="str">
        <f ca="1">IFERROR(__xludf.DUMMYFUNCTION("GOOGLETRANSLATE(B109,""zh"",""vi"")"),"cô")</f>
        <v>cô</v>
      </c>
      <c r="F109" s="9" t="s">
        <v>7</v>
      </c>
      <c r="G109" s="9"/>
    </row>
    <row r="110" spans="1:7">
      <c r="A110" s="23">
        <v>109</v>
      </c>
      <c r="B110" s="21" t="s">
        <v>2839</v>
      </c>
      <c r="C110" s="9"/>
      <c r="D110" s="21" t="s">
        <v>2840</v>
      </c>
      <c r="E110" s="9" t="str">
        <f ca="1">IFERROR(__xludf.DUMMYFUNCTION("GOOGLETRANSLATE(B110,""zh"",""vi"")"),"sai lầm")</f>
        <v>sai lầm</v>
      </c>
      <c r="F110" s="9" t="s">
        <v>87</v>
      </c>
      <c r="G110" s="9"/>
    </row>
    <row r="111" spans="1:7">
      <c r="A111" s="23">
        <v>110</v>
      </c>
      <c r="B111" s="21" t="s">
        <v>2841</v>
      </c>
      <c r="C111" s="9"/>
      <c r="D111" s="21" t="s">
        <v>2842</v>
      </c>
      <c r="E111" s="9" t="str">
        <f ca="1">IFERROR(__xludf.DUMMYFUNCTION("GOOGLETRANSLATE(B111,""zh"",""vi"")"),"bất cẩn")</f>
        <v>bất cẩn</v>
      </c>
      <c r="F111" s="9" t="s">
        <v>87</v>
      </c>
      <c r="G111" s="9"/>
    </row>
    <row r="112" spans="1:7">
      <c r="A112" s="23">
        <v>111</v>
      </c>
      <c r="B112" s="21" t="s">
        <v>2843</v>
      </c>
      <c r="C112" s="9"/>
      <c r="D112" s="21" t="s">
        <v>2844</v>
      </c>
      <c r="E112" s="9" t="str">
        <f ca="1">IFERROR(__xludf.DUMMYFUNCTION("GOOGLETRANSLATE(B112,""zh"",""vi"")"),"trả lời")</f>
        <v>trả lời</v>
      </c>
      <c r="F112" s="9" t="s">
        <v>87</v>
      </c>
      <c r="G112" s="9"/>
    </row>
    <row r="113" spans="1:7">
      <c r="A113" s="23">
        <v>112</v>
      </c>
      <c r="B113" s="21" t="s">
        <v>2845</v>
      </c>
      <c r="C113" s="9"/>
      <c r="D113" s="21" t="s">
        <v>2846</v>
      </c>
      <c r="E113" s="9" t="str">
        <f ca="1">IFERROR(__xludf.DUMMYFUNCTION("GOOGLETRANSLATE(B113,""zh"",""vi"")"),"chào hỏi")</f>
        <v>chào hỏi</v>
      </c>
      <c r="F113" s="9" t="s">
        <v>87</v>
      </c>
      <c r="G113" s="9"/>
    </row>
    <row r="114" spans="1:7">
      <c r="A114" s="23">
        <v>113</v>
      </c>
      <c r="B114" s="21" t="s">
        <v>2847</v>
      </c>
      <c r="C114" s="9"/>
      <c r="D114" s="21" t="s">
        <v>2848</v>
      </c>
      <c r="E114" s="9" t="str">
        <f ca="1">IFERROR(__xludf.DUMMYFUNCTION("GOOGLETRANSLATE(B114,""zh"",""vi"")"),"Trả lời")</f>
        <v>Trả lời</v>
      </c>
      <c r="F114" s="9" t="s">
        <v>87</v>
      </c>
      <c r="G114" s="9"/>
    </row>
    <row r="115" spans="1:7">
      <c r="A115" s="23">
        <v>114</v>
      </c>
      <c r="B115" s="21" t="s">
        <v>2849</v>
      </c>
      <c r="C115" s="9"/>
      <c r="D115" s="21" t="s">
        <v>2850</v>
      </c>
      <c r="E115" s="9" t="str">
        <f ca="1">IFERROR(__xludf.DUMMYFUNCTION("GOOGLETRANSLATE(B115,""zh"",""vi"")"),"xe buýt")</f>
        <v>xe buýt</v>
      </c>
      <c r="F115" s="9" t="s">
        <v>94</v>
      </c>
      <c r="G115" s="9"/>
    </row>
    <row r="116" spans="1:7">
      <c r="A116" s="23">
        <v>115</v>
      </c>
      <c r="B116" s="21" t="s">
        <v>2851</v>
      </c>
      <c r="C116" s="9"/>
      <c r="D116" s="21" t="s">
        <v>2852</v>
      </c>
      <c r="E116" s="9" t="str">
        <f ca="1">IFERROR(__xludf.DUMMYFUNCTION("GOOGLETRANSLATE(B116,""zh"",""vi"")"),"đánh bại")</f>
        <v>đánh bại</v>
      </c>
      <c r="F116" s="9" t="s">
        <v>87</v>
      </c>
      <c r="G116" s="9"/>
    </row>
    <row r="117" spans="1:7">
      <c r="A117" s="23">
        <v>116</v>
      </c>
      <c r="B117" s="21" t="s">
        <v>1275</v>
      </c>
      <c r="C117" s="9"/>
      <c r="D117" s="21" t="s">
        <v>2853</v>
      </c>
      <c r="E117" s="9" t="str">
        <f ca="1">IFERROR(__xludf.DUMMYFUNCTION("GOOGLETRANSLATE(B117,""zh"",""vi"")"),"To To")</f>
        <v>To To</v>
      </c>
      <c r="F117" s="9" t="s">
        <v>107</v>
      </c>
      <c r="G117" s="9"/>
    </row>
    <row r="118" spans="1:7">
      <c r="A118" s="23">
        <v>117</v>
      </c>
      <c r="B118" s="21" t="s">
        <v>2854</v>
      </c>
      <c r="C118" s="9"/>
      <c r="D118" s="21" t="s">
        <v>2855</v>
      </c>
      <c r="E118" s="9" t="str">
        <f ca="1">IFERROR(__xludf.DUMMYFUNCTION("GOOGLETRANSLATE(B118,""zh"",""vi"")"),"đạt được")</f>
        <v>đạt được</v>
      </c>
      <c r="F118" s="9" t="s">
        <v>87</v>
      </c>
      <c r="G118" s="9"/>
    </row>
    <row r="119" spans="1:7">
      <c r="A119" s="23">
        <v>118</v>
      </c>
      <c r="B119" s="21" t="s">
        <v>1272</v>
      </c>
      <c r="C119" s="9"/>
      <c r="D119" s="21" t="s">
        <v>2856</v>
      </c>
      <c r="E119" s="9" t="str">
        <f ca="1">IFERROR(__xludf.DUMMYFUNCTION("GOOGLETRANSLATE(B119,""zh"",""vi"")"),"làm việc để kiếm sống")</f>
        <v>làm việc để kiếm sống</v>
      </c>
      <c r="F119" s="9" t="s">
        <v>115</v>
      </c>
      <c r="G119" s="9"/>
    </row>
    <row r="120" spans="1:7">
      <c r="A120" s="23">
        <v>119</v>
      </c>
      <c r="B120" s="21" t="s">
        <v>2857</v>
      </c>
      <c r="C120" s="9"/>
      <c r="D120" s="21" t="s">
        <v>1593</v>
      </c>
      <c r="E120" s="9" t="str">
        <f ca="1">IFERROR(__xludf.DUMMYFUNCTION("GOOGLETRANSLATE(B120,""zh"",""vi"")"),"Mặc")</f>
        <v>Mặc</v>
      </c>
      <c r="F120" s="9" t="s">
        <v>87</v>
      </c>
      <c r="G120" s="9"/>
    </row>
    <row r="121" spans="1:7">
      <c r="A121" s="23">
        <v>120</v>
      </c>
      <c r="B121" s="21" t="s">
        <v>2858</v>
      </c>
      <c r="C121" s="9"/>
      <c r="D121" s="21" t="s">
        <v>2859</v>
      </c>
      <c r="E121" s="9" t="str">
        <f ca="1">IFERROR(__xludf.DUMMYFUNCTION("GOOGLETRANSLATE(B121,""zh"",""vi"")"),"đối xử")</f>
        <v>đối xử</v>
      </c>
      <c r="F121" s="9" t="s">
        <v>87</v>
      </c>
      <c r="G121" s="9"/>
    </row>
    <row r="122" spans="1:7">
      <c r="A122" s="23">
        <v>121</v>
      </c>
      <c r="B122" s="21" t="s">
        <v>2860</v>
      </c>
      <c r="C122" s="9"/>
      <c r="D122" s="21" t="s">
        <v>2861</v>
      </c>
      <c r="E122" s="9" t="str">
        <f ca="1">IFERROR(__xludf.DUMMYFUNCTION("GOOGLETRANSLATE(B122,""zh"",""vi"")"),"bác sĩ")</f>
        <v>bác sĩ</v>
      </c>
      <c r="F122" s="9" t="s">
        <v>64</v>
      </c>
      <c r="G122" s="9"/>
    </row>
    <row r="123" spans="1:7">
      <c r="A123" s="23">
        <v>122</v>
      </c>
      <c r="B123" s="21" t="s">
        <v>2862</v>
      </c>
      <c r="C123" s="9"/>
      <c r="D123" s="21" t="s">
        <v>2863</v>
      </c>
      <c r="E123" s="9" t="str">
        <f ca="1">IFERROR(__xludf.DUMMYFUNCTION("GOOGLETRANSLATE(B123,""zh"",""vi"")"),"cái túi")</f>
        <v>cái túi</v>
      </c>
      <c r="F123" s="9" t="s">
        <v>87</v>
      </c>
      <c r="G123" s="9"/>
    </row>
    <row r="124" spans="1:7">
      <c r="A124" s="23">
        <v>123</v>
      </c>
      <c r="B124" s="21" t="s">
        <v>1276</v>
      </c>
      <c r="C124" s="9"/>
      <c r="D124" s="21" t="s">
        <v>2864</v>
      </c>
      <c r="E124" s="9" t="str">
        <f ca="1">IFERROR(__xludf.DUMMYFUNCTION("GOOGLETRANSLATE(B124,""zh"",""vi"")"),"số lượng lớn")</f>
        <v>số lượng lớn</v>
      </c>
      <c r="F124" s="9" t="s">
        <v>107</v>
      </c>
      <c r="G124" s="9"/>
    </row>
    <row r="125" spans="1:7">
      <c r="A125" s="23">
        <v>124</v>
      </c>
      <c r="B125" s="21" t="s">
        <v>1283</v>
      </c>
      <c r="C125" s="9"/>
      <c r="D125" s="21" t="s">
        <v>2865</v>
      </c>
      <c r="E125" s="9" t="str">
        <f ca="1">IFERROR(__xludf.DUMMYFUNCTION("GOOGLETRANSLATE(B125,""zh"",""vi"")"),"khi")</f>
        <v>khi</v>
      </c>
      <c r="F125" s="9" t="s">
        <v>34</v>
      </c>
      <c r="G125" s="9"/>
    </row>
    <row r="126" spans="1:7">
      <c r="A126" s="23">
        <v>125</v>
      </c>
      <c r="B126" s="21" t="s">
        <v>1284</v>
      </c>
      <c r="C126" s="9"/>
      <c r="D126" s="21" t="s">
        <v>2866</v>
      </c>
      <c r="E126" s="9" t="str">
        <f ca="1">IFERROR(__xludf.DUMMYFUNCTION("GOOGLETRANSLATE(B126,""zh"",""vi"")"),"sau đó")</f>
        <v>sau đó</v>
      </c>
      <c r="F126" s="9" t="s">
        <v>60</v>
      </c>
      <c r="G126" s="9"/>
    </row>
    <row r="127" spans="1:7">
      <c r="A127" s="23">
        <v>126</v>
      </c>
      <c r="B127" s="21" t="s">
        <v>1282</v>
      </c>
      <c r="C127" s="9"/>
      <c r="D127" s="21" t="s">
        <v>2867</v>
      </c>
      <c r="E127" s="9" t="str">
        <f ca="1">IFERROR(__xludf.DUMMYFUNCTION("GOOGLETRANSLATE(B127,""zh"",""vi"")"),"đơn vị")</f>
        <v>đơn vị</v>
      </c>
      <c r="F127" s="9" t="s">
        <v>87</v>
      </c>
      <c r="G127" s="9"/>
    </row>
    <row r="128" spans="1:7">
      <c r="A128" s="23">
        <v>127</v>
      </c>
      <c r="B128" s="21" t="s">
        <v>1285</v>
      </c>
      <c r="C128" s="9"/>
      <c r="D128" s="21" t="s">
        <v>117</v>
      </c>
      <c r="E128" s="9" t="str">
        <f ca="1">IFERROR(__xludf.DUMMYFUNCTION("GOOGLETRANSLATE(B128,""zh"",""vi"")"),"ngã")</f>
        <v>ngã</v>
      </c>
      <c r="F128" s="9" t="s">
        <v>87</v>
      </c>
      <c r="G128" s="9"/>
    </row>
    <row r="129" spans="1:7">
      <c r="A129" s="23">
        <v>128</v>
      </c>
      <c r="B129" s="21" t="s">
        <v>1287</v>
      </c>
      <c r="C129" s="9"/>
      <c r="D129" s="21" t="s">
        <v>117</v>
      </c>
      <c r="E129" s="9" t="str">
        <f ca="1">IFERROR(__xludf.DUMMYFUNCTION("GOOGLETRANSLATE(B129,""zh"",""vi"")"),"đường")</f>
        <v>đường</v>
      </c>
      <c r="F129" s="9" t="s">
        <v>94</v>
      </c>
      <c r="G129" s="9"/>
    </row>
    <row r="130" spans="1:7">
      <c r="A130" s="23">
        <v>129</v>
      </c>
      <c r="B130" s="21" t="s">
        <v>2868</v>
      </c>
      <c r="C130" s="9"/>
      <c r="D130" s="21" t="s">
        <v>2869</v>
      </c>
      <c r="E130" s="9" t="str">
        <f ca="1">IFERROR(__xludf.DUMMYFUNCTION("GOOGLETRANSLATE(B130,""zh"",""vi"")"),"dao")</f>
        <v>dao</v>
      </c>
      <c r="F130" s="9" t="s">
        <v>87</v>
      </c>
      <c r="G130" s="9"/>
    </row>
    <row r="131" spans="1:7">
      <c r="A131" s="23">
        <v>130</v>
      </c>
      <c r="B131" s="21" t="s">
        <v>2870</v>
      </c>
      <c r="C131" s="9"/>
      <c r="D131" s="21" t="s">
        <v>2871</v>
      </c>
      <c r="E131" s="9" t="str">
        <f ca="1">IFERROR(__xludf.DUMMYFUNCTION("GOOGLETRANSLATE(B131,""zh"",""vi"")"),"cuối cùng")</f>
        <v>cuối cùng</v>
      </c>
      <c r="F131" s="9" t="s">
        <v>87</v>
      </c>
      <c r="G131" s="9"/>
    </row>
    <row r="132" spans="1:7">
      <c r="A132" s="23">
        <v>131</v>
      </c>
      <c r="B132" s="21" t="s">
        <v>2872</v>
      </c>
      <c r="C132" s="9"/>
      <c r="D132" s="21" t="s">
        <v>2873</v>
      </c>
      <c r="E132" s="9" t="str">
        <f ca="1">IFERROR(__xludf.DUMMYFUNCTION("GOOGLETRANSLATE(B132,""zh"",""vi"")"),"đến")</f>
        <v>đến</v>
      </c>
      <c r="F132" s="9" t="s">
        <v>94</v>
      </c>
      <c r="G132" s="9"/>
    </row>
    <row r="133" spans="1:7">
      <c r="A133" s="23">
        <v>132</v>
      </c>
      <c r="B133" s="21" t="s">
        <v>1288</v>
      </c>
      <c r="C133" s="9"/>
      <c r="D133" s="21" t="s">
        <v>2874</v>
      </c>
      <c r="E133" s="9" t="str">
        <f ca="1">IFERROR(__xludf.DUMMYFUNCTION("GOOGLETRANSLATE(B133,""zh"",""vi"")"),"cách")</f>
        <v>cách</v>
      </c>
      <c r="F133" s="9" t="s">
        <v>87</v>
      </c>
      <c r="G133" s="9"/>
    </row>
    <row r="134" spans="1:7">
      <c r="A134" s="23">
        <v>133</v>
      </c>
      <c r="B134" s="21" t="s">
        <v>2875</v>
      </c>
      <c r="C134" s="9"/>
      <c r="D134" s="21" t="s">
        <v>2876</v>
      </c>
      <c r="E134" s="9" t="str">
        <f ca="1">IFERROR(__xludf.DUMMYFUNCTION("GOOGLETRANSLATE(B134,""zh"",""vi"")"),"Xin lỗi")</f>
        <v>Xin lỗi</v>
      </c>
      <c r="F134" s="9" t="s">
        <v>87</v>
      </c>
      <c r="G134" s="9"/>
    </row>
    <row r="135" spans="1:7">
      <c r="A135" s="23">
        <v>134</v>
      </c>
      <c r="B135" s="21" t="s">
        <v>2877</v>
      </c>
      <c r="C135" s="9"/>
      <c r="D135" s="21" t="s">
        <v>2878</v>
      </c>
      <c r="E135" s="9" t="str">
        <f ca="1">IFERROR(__xludf.DUMMYFUNCTION("GOOGLETRANSLATE(B135,""zh"",""vi"")"),"hướng dẫn viên du lịch")</f>
        <v>hướng dẫn viên du lịch</v>
      </c>
      <c r="F135" s="9" t="s">
        <v>48</v>
      </c>
      <c r="G135" s="9"/>
    </row>
    <row r="136" spans="1:7">
      <c r="A136" s="23">
        <v>135</v>
      </c>
      <c r="B136" s="21" t="s">
        <v>2879</v>
      </c>
      <c r="C136" s="9"/>
      <c r="D136" s="21" t="s">
        <v>2880</v>
      </c>
      <c r="E136" s="9" t="str">
        <f ca="1">IFERROR(__xludf.DUMMYFUNCTION("GOOGLETRANSLATE(B136,""zh"",""vi"")"),"quấy rầy")</f>
        <v>quấy rầy</v>
      </c>
      <c r="F136" s="9" t="s">
        <v>87</v>
      </c>
      <c r="G136" s="9"/>
    </row>
    <row r="137" spans="1:7">
      <c r="A137" s="23">
        <v>136</v>
      </c>
      <c r="B137" s="21" t="s">
        <v>2881</v>
      </c>
      <c r="C137" s="9"/>
      <c r="D137" s="21" t="s">
        <v>2882</v>
      </c>
      <c r="E137" s="9" t="str">
        <f ca="1">IFERROR(__xludf.DUMMYFUNCTION("GOOGLETRANSLATE(B137,""zh"",""vi"")"),"Cuộc thi")</f>
        <v>Cuộc thi</v>
      </c>
      <c r="F137" s="9" t="s">
        <v>87</v>
      </c>
      <c r="G137" s="9"/>
    </row>
    <row r="138" spans="1:7">
      <c r="A138" s="23">
        <v>137</v>
      </c>
      <c r="B138" s="21" t="s">
        <v>2883</v>
      </c>
      <c r="C138" s="9"/>
      <c r="D138" s="21" t="s">
        <v>2884</v>
      </c>
      <c r="E138" s="9" t="str">
        <f ca="1">IFERROR(__xludf.DUMMYFUNCTION("GOOGLETRANSLATE(B138,""zh"",""vi"")"),"sảnh")</f>
        <v>sảnh</v>
      </c>
      <c r="F138" s="9" t="s">
        <v>48</v>
      </c>
      <c r="G138" s="9"/>
    </row>
    <row r="139" spans="1:7">
      <c r="A139" s="23">
        <v>138</v>
      </c>
      <c r="B139" s="21" t="s">
        <v>1274</v>
      </c>
      <c r="C139" s="9"/>
      <c r="D139" s="21" t="s">
        <v>2885</v>
      </c>
      <c r="E139" s="9" t="str">
        <f ca="1">IFERROR(__xludf.DUMMYFUNCTION("GOOGLETRANSLATE(B139,""zh"",""vi"")"),"In")</f>
        <v>In</v>
      </c>
      <c r="F139" s="9" t="s">
        <v>87</v>
      </c>
      <c r="G139" s="9"/>
    </row>
    <row r="140" spans="1:7">
      <c r="A140" s="23">
        <v>139</v>
      </c>
      <c r="B140" s="21" t="s">
        <v>1271</v>
      </c>
      <c r="C140" s="9"/>
      <c r="D140" s="21" t="s">
        <v>2886</v>
      </c>
      <c r="E140" s="9" t="str">
        <f ca="1">IFERROR(__xludf.DUMMYFUNCTION("GOOGLETRANSLATE(B140,""zh"",""vi"")"),"hứa")</f>
        <v>hứa</v>
      </c>
      <c r="F140" s="9" t="s">
        <v>87</v>
      </c>
      <c r="G140" s="9"/>
    </row>
    <row r="141" spans="1:7">
      <c r="A141" s="23">
        <v>140</v>
      </c>
      <c r="B141" s="21" t="s">
        <v>2887</v>
      </c>
      <c r="C141" s="9"/>
      <c r="D141" s="21" t="s">
        <v>2888</v>
      </c>
      <c r="E141" s="9" t="str">
        <f ca="1">IFERROR(__xludf.DUMMYFUNCTION("GOOGLETRANSLATE(B141,""zh"",""vi"")"),"máy in")</f>
        <v>máy in</v>
      </c>
      <c r="F141" s="9" t="s">
        <v>48</v>
      </c>
      <c r="G141" s="9"/>
    </row>
    <row r="142" spans="1:7">
      <c r="A142" s="23">
        <v>141</v>
      </c>
      <c r="B142" s="21" t="s">
        <v>2889</v>
      </c>
      <c r="C142" s="9"/>
      <c r="D142" s="21" t="s">
        <v>2890</v>
      </c>
      <c r="E142" s="9" t="str">
        <f ca="1">IFERROR(__xludf.DUMMYFUNCTION("GOOGLETRANSLATE(B142,""zh"",""vi"")"),"Về")</f>
        <v>Về</v>
      </c>
      <c r="F142" s="9" t="s">
        <v>87</v>
      </c>
      <c r="G142" s="9"/>
    </row>
    <row r="143" spans="1:7">
      <c r="A143" s="23">
        <v>142</v>
      </c>
      <c r="B143" s="21" t="s">
        <v>2891</v>
      </c>
      <c r="C143" s="9"/>
      <c r="D143" s="21" t="s">
        <v>2892</v>
      </c>
      <c r="E143" s="9" t="str">
        <f ca="1">IFERROR(__xludf.DUMMYFUNCTION("GOOGLETRANSLATE(B143,""zh"",""vi"")"),"Giảm giá")</f>
        <v>Giảm giá</v>
      </c>
      <c r="F143" s="9" t="s">
        <v>87</v>
      </c>
      <c r="G143" s="9"/>
    </row>
    <row r="144" spans="1:7">
      <c r="A144" s="23">
        <v>143</v>
      </c>
      <c r="B144" s="21" t="s">
        <v>2893</v>
      </c>
      <c r="C144" s="9"/>
      <c r="D144" s="21" t="s">
        <v>2894</v>
      </c>
      <c r="E144" s="9" t="str">
        <f ca="1">IFERROR(__xludf.DUMMYFUNCTION("GOOGLETRANSLATE(B144,""zh"",""vi"")"),"tiêm")</f>
        <v>tiêm</v>
      </c>
      <c r="F144" s="9" t="s">
        <v>87</v>
      </c>
      <c r="G144" s="9"/>
    </row>
    <row r="145" spans="1:7">
      <c r="A145" s="23">
        <v>144</v>
      </c>
      <c r="B145" s="21" t="s">
        <v>1280</v>
      </c>
      <c r="C145" s="9"/>
      <c r="D145" s="21" t="s">
        <v>2895</v>
      </c>
      <c r="E145" s="9" t="str">
        <f ca="1">IFERROR(__xludf.DUMMYFUNCTION("GOOGLETRANSLATE(B145,""zh"",""vi"")"),"Thiên nhiên")</f>
        <v>Thiên nhiên</v>
      </c>
      <c r="F145" s="9" t="s">
        <v>203</v>
      </c>
      <c r="G145" s="9"/>
    </row>
    <row r="146" spans="1:7">
      <c r="A146" s="23">
        <v>145</v>
      </c>
      <c r="B146" s="21" t="s">
        <v>2896</v>
      </c>
      <c r="C146" s="9"/>
      <c r="D146" s="21" t="s">
        <v>832</v>
      </c>
      <c r="E146" s="9" t="str">
        <f ca="1">IFERROR(__xludf.DUMMYFUNCTION("GOOGLETRANSLATE(B146,""zh"",""vi"")"),"2")</f>
        <v>2</v>
      </c>
      <c r="F146" s="9" t="s">
        <v>87</v>
      </c>
      <c r="G146" s="9"/>
    </row>
    <row r="147" spans="1:7">
      <c r="A147" s="23">
        <v>146</v>
      </c>
      <c r="B147" s="21" t="s">
        <v>1291</v>
      </c>
      <c r="C147" s="9"/>
      <c r="D147" s="21" t="s">
        <v>2897</v>
      </c>
      <c r="E147" s="9" t="str">
        <f ca="1">IFERROR(__xludf.DUMMYFUNCTION("GOOGLETRANSLATE(B147,""zh"",""vi"")"),"đợi đến khi")</f>
        <v>đợi đến khi</v>
      </c>
      <c r="F147" s="9" t="s">
        <v>34</v>
      </c>
      <c r="G147" s="9"/>
    </row>
    <row r="148" spans="1:7">
      <c r="A148" s="23">
        <v>147</v>
      </c>
      <c r="B148" s="21" t="s">
        <v>2898</v>
      </c>
      <c r="C148" s="9"/>
      <c r="D148" s="21" t="s">
        <v>2899</v>
      </c>
      <c r="E148" s="9" t="str">
        <f ca="1">IFERROR(__xludf.DUMMYFUNCTION("GOOGLETRANSLATE(B148,""zh"",""vi"")"),"Lên tàu")</f>
        <v>Lên tàu</v>
      </c>
      <c r="F148" s="9" t="s">
        <v>94</v>
      </c>
      <c r="G148" s="9"/>
    </row>
    <row r="149" spans="1:7">
      <c r="A149" s="23">
        <v>148</v>
      </c>
      <c r="B149" s="21" t="s">
        <v>2900</v>
      </c>
      <c r="C149" s="9"/>
      <c r="D149" s="21" t="s">
        <v>2901</v>
      </c>
      <c r="E149" s="9" t="str">
        <f ca="1">IFERROR(__xludf.DUMMYFUNCTION("GOOGLETRANSLATE(B149,""zh"",""vi"")"),"tự hào")</f>
        <v>tự hào</v>
      </c>
      <c r="F149" s="9" t="s">
        <v>15</v>
      </c>
      <c r="G149" s="9"/>
    </row>
    <row r="150" spans="1:7">
      <c r="A150" s="23">
        <v>149</v>
      </c>
      <c r="B150" s="21" t="s">
        <v>2902</v>
      </c>
      <c r="C150" s="9"/>
      <c r="D150" s="21" t="s">
        <v>2903</v>
      </c>
      <c r="E150" s="9" t="str">
        <f ca="1">IFERROR(__xludf.DUMMYFUNCTION("GOOGLETRANSLATE(B150,""zh"",""vi"")"),"kết thúc")</f>
        <v>kết thúc</v>
      </c>
      <c r="F150" s="9" t="s">
        <v>87</v>
      </c>
      <c r="G150" s="9"/>
    </row>
    <row r="151" spans="1:7">
      <c r="A151" s="23">
        <v>150</v>
      </c>
      <c r="B151" s="21" t="s">
        <v>1292</v>
      </c>
      <c r="C151" s="9"/>
      <c r="D151" s="21" t="s">
        <v>1616</v>
      </c>
      <c r="E151" s="9" t="str">
        <f ca="1">IFERROR(__xludf.DUMMYFUNCTION("GOOGLETRANSLATE(B151,""zh"",""vi"")"),"Thấp")</f>
        <v>Thấp</v>
      </c>
      <c r="F151" s="9" t="s">
        <v>107</v>
      </c>
      <c r="G151" s="9"/>
    </row>
    <row r="152" spans="1:7">
      <c r="A152" s="23">
        <v>151</v>
      </c>
      <c r="B152" s="21" t="s">
        <v>2904</v>
      </c>
      <c r="C152" s="9"/>
      <c r="D152" s="21" t="s">
        <v>2905</v>
      </c>
      <c r="E152" s="9" t="str">
        <f ca="1">IFERROR(__xludf.DUMMYFUNCTION("GOOGLETRANSLATE(B152,""zh"",""vi"")"),"xe điện")</f>
        <v>xe điện</v>
      </c>
      <c r="F152" s="9" t="s">
        <v>48</v>
      </c>
      <c r="G152" s="9"/>
    </row>
    <row r="153" spans="1:7">
      <c r="A153" s="23">
        <v>152</v>
      </c>
      <c r="B153" s="21" t="s">
        <v>2906</v>
      </c>
      <c r="C153" s="9"/>
      <c r="D153" s="21" t="s">
        <v>2907</v>
      </c>
      <c r="E153" s="9" t="str">
        <f ca="1">IFERROR(__xludf.DUMMYFUNCTION("GOOGLETRANSLATE(B153,""zh"",""vi"")"),"Điểm danh")</f>
        <v>Điểm danh</v>
      </c>
      <c r="F153" s="9" t="s">
        <v>7</v>
      </c>
      <c r="G153" s="9"/>
    </row>
    <row r="154" spans="1:7">
      <c r="A154" s="23">
        <v>153</v>
      </c>
      <c r="B154" s="21" t="s">
        <v>2908</v>
      </c>
      <c r="C154" s="9"/>
      <c r="D154" s="21" t="s">
        <v>2909</v>
      </c>
      <c r="E154" s="9" t="str">
        <f ca="1">IFERROR(__xludf.DUMMYFUNCTION("GOOGLETRANSLATE(B154,""zh"",""vi"")"),"phim truyền hình")</f>
        <v>phim truyền hình</v>
      </c>
      <c r="F154" s="9" t="s">
        <v>87</v>
      </c>
      <c r="G154" s="9"/>
    </row>
    <row r="155" spans="1:7">
      <c r="A155" s="23">
        <v>154</v>
      </c>
      <c r="B155" s="21" t="s">
        <v>1294</v>
      </c>
      <c r="C155" s="9"/>
      <c r="D155" s="21" t="s">
        <v>2910</v>
      </c>
      <c r="E155" s="9" t="str">
        <f ca="1">IFERROR(__xludf.DUMMYFUNCTION("GOOGLETRANSLATE(B155,""zh"",""vi"")"),"gật đầu")</f>
        <v>gật đầu</v>
      </c>
      <c r="F155" s="9" t="s">
        <v>64</v>
      </c>
      <c r="G155" s="9"/>
    </row>
    <row r="156" spans="1:7">
      <c r="A156" s="23">
        <v>155</v>
      </c>
      <c r="B156" s="21" t="s">
        <v>1295</v>
      </c>
      <c r="C156" s="9"/>
      <c r="D156" s="21" t="s">
        <v>2911</v>
      </c>
      <c r="E156" s="9" t="str">
        <f ca="1">IFERROR(__xludf.DUMMYFUNCTION("GOOGLETRANSLATE(B156,""zh"",""vi"")"),"Thua")</f>
        <v>Thua</v>
      </c>
      <c r="F156" s="9" t="s">
        <v>34</v>
      </c>
      <c r="G156" s="9"/>
    </row>
    <row r="157" spans="1:7">
      <c r="A157" s="23">
        <v>156</v>
      </c>
      <c r="B157" s="21" t="s">
        <v>2912</v>
      </c>
      <c r="C157" s="9"/>
      <c r="D157" s="21" t="s">
        <v>2913</v>
      </c>
      <c r="E157" s="9" t="str">
        <f ca="1">IFERROR(__xludf.DUMMYFUNCTION("GOOGLETRANSLATE(B157,""zh"",""vi"")"),"cuộc điều tra")</f>
        <v>cuộc điều tra</v>
      </c>
      <c r="F157" s="9" t="s">
        <v>94</v>
      </c>
      <c r="G157" s="9"/>
    </row>
    <row r="158" spans="1:7">
      <c r="A158" s="23">
        <v>157</v>
      </c>
      <c r="B158" s="21" t="s">
        <v>2914</v>
      </c>
      <c r="C158" s="9"/>
      <c r="D158" s="21" t="s">
        <v>2915</v>
      </c>
      <c r="E158" s="9" t="str">
        <f ca="1">IFERROR(__xludf.DUMMYFUNCTION("GOOGLETRANSLATE(B158,""zh"",""vi"")"),"giá thấp")</f>
        <v>giá thấp</v>
      </c>
      <c r="F158" s="9" t="s">
        <v>107</v>
      </c>
      <c r="G158" s="9"/>
    </row>
    <row r="159" spans="1:7">
      <c r="A159" s="23">
        <v>158</v>
      </c>
      <c r="B159" s="21" t="s">
        <v>2916</v>
      </c>
      <c r="C159" s="9"/>
      <c r="D159" s="21" t="s">
        <v>2917</v>
      </c>
      <c r="E159" s="9" t="str">
        <f ca="1">IFERROR(__xludf.DUMMYFUNCTION("GOOGLETRANSLATE(B159,""zh"",""vi"")"),"đặt hàng")</f>
        <v>đặt hàng</v>
      </c>
      <c r="F159" s="9" t="s">
        <v>87</v>
      </c>
      <c r="G159" s="9"/>
    </row>
    <row r="160" spans="1:7">
      <c r="A160" s="23">
        <v>159</v>
      </c>
      <c r="B160" s="21" t="s">
        <v>2918</v>
      </c>
      <c r="C160" s="9"/>
      <c r="D160" s="21" t="s">
        <v>2917</v>
      </c>
      <c r="E160" s="9" t="str">
        <f ca="1">IFERROR(__xludf.DUMMYFUNCTION("GOOGLETRANSLATE(B160,""zh"",""vi"")"),"Chắc chắn")</f>
        <v>Chắc chắn</v>
      </c>
      <c r="F160" s="9" t="s">
        <v>87</v>
      </c>
      <c r="G160" s="9"/>
    </row>
    <row r="161" spans="1:7">
      <c r="A161" s="23">
        <v>160</v>
      </c>
      <c r="B161" s="21" t="s">
        <v>1293</v>
      </c>
      <c r="C161" s="9"/>
      <c r="D161" s="21" t="s">
        <v>2919</v>
      </c>
      <c r="E161" s="9" t="str">
        <f ca="1">IFERROR(__xludf.DUMMYFUNCTION("GOOGLETRANSLATE(B161,""zh"",""vi"")"),"Trái đất")</f>
        <v>Trái đất</v>
      </c>
      <c r="F161" s="9" t="s">
        <v>87</v>
      </c>
      <c r="G161" s="9"/>
    </row>
    <row r="162" spans="1:7">
      <c r="A162" s="23">
        <v>161</v>
      </c>
      <c r="B162" s="21" t="s">
        <v>2920</v>
      </c>
      <c r="C162" s="9"/>
      <c r="D162" s="21" t="s">
        <v>2921</v>
      </c>
      <c r="E162" s="9" t="str">
        <f ca="1">IFERROR(__xludf.DUMMYFUNCTION("GOOGLETRANSLATE(B162,""zh"",""vi"")"),"Nhiệt độ thấp")</f>
        <v>Nhiệt độ thấp</v>
      </c>
      <c r="F162" s="9" t="s">
        <v>107</v>
      </c>
      <c r="G162" s="9"/>
    </row>
    <row r="163" spans="1:7">
      <c r="A163" s="23">
        <v>162</v>
      </c>
      <c r="B163" s="21" t="s">
        <v>2922</v>
      </c>
      <c r="C163" s="9"/>
      <c r="D163" s="21" t="s">
        <v>2923</v>
      </c>
      <c r="E163" s="9" t="str">
        <f ca="1">IFERROR(__xludf.DUMMYFUNCTION("GOOGLETRANSLATE(B163,""zh"",""vi"")"),"dưới")</f>
        <v>dưới</v>
      </c>
      <c r="F163" s="9" t="s">
        <v>60</v>
      </c>
      <c r="G163" s="9"/>
    </row>
    <row r="164" spans="1:7">
      <c r="A164" s="23">
        <v>163</v>
      </c>
      <c r="B164" s="21" t="s">
        <v>2924</v>
      </c>
      <c r="C164" s="9"/>
      <c r="D164" s="21" t="s">
        <v>2925</v>
      </c>
      <c r="E164" s="9" t="str">
        <f ca="1">IFERROR(__xludf.DUMMYFUNCTION("GOOGLETRANSLATE(B164,""zh"",""vi"")"),"Dưới")</f>
        <v>Dưới</v>
      </c>
      <c r="F164" s="9" t="s">
        <v>60</v>
      </c>
      <c r="G164" s="9"/>
    </row>
    <row r="165" spans="1:7">
      <c r="A165" s="23">
        <v>164</v>
      </c>
      <c r="B165" s="21" t="s">
        <v>2926</v>
      </c>
      <c r="C165" s="9"/>
      <c r="D165" s="21" t="s">
        <v>2927</v>
      </c>
      <c r="E165" s="9" t="str">
        <f ca="1">IFERROR(__xludf.DUMMYFUNCTION("GOOGLETRANSLATE(B165,""zh"",""vi"")"),"Địa chỉ")</f>
        <v>Địa chỉ</v>
      </c>
      <c r="F165" s="9" t="s">
        <v>90</v>
      </c>
      <c r="G165" s="9"/>
    </row>
    <row r="166" spans="1:7">
      <c r="A166" s="23">
        <v>165</v>
      </c>
      <c r="B166" s="21" t="s">
        <v>2928</v>
      </c>
      <c r="C166" s="9"/>
      <c r="D166" s="21" t="s">
        <v>2929</v>
      </c>
      <c r="E166" s="9" t="str">
        <f ca="1">IFERROR(__xludf.DUMMYFUNCTION("GOOGLETRANSLATE(B166,""zh"",""vi"")"),"phía đông")</f>
        <v>phía đông</v>
      </c>
      <c r="F166" s="9" t="s">
        <v>34</v>
      </c>
      <c r="G166" s="9"/>
    </row>
    <row r="167" spans="1:7">
      <c r="A167" s="23">
        <v>166</v>
      </c>
      <c r="B167" s="21" t="s">
        <v>2930</v>
      </c>
      <c r="C167" s="9"/>
      <c r="D167" s="21" t="s">
        <v>2931</v>
      </c>
      <c r="E167" s="9" t="str">
        <f ca="1">IFERROR(__xludf.DUMMYFUNCTION("GOOGLETRANSLATE(B167,""zh"",""vi"")"),"tàu cao tốc")</f>
        <v>tàu cao tốc</v>
      </c>
      <c r="F167" s="9" t="s">
        <v>94</v>
      </c>
      <c r="G167" s="9"/>
    </row>
    <row r="168" spans="1:7">
      <c r="A168" s="23">
        <v>167</v>
      </c>
      <c r="B168" s="21" t="s">
        <v>2932</v>
      </c>
      <c r="C168" s="9"/>
      <c r="D168" s="21" t="s">
        <v>2933</v>
      </c>
      <c r="E168" s="9" t="str">
        <f ca="1">IFERROR(__xludf.DUMMYFUNCTION("GOOGLETRANSLATE(B168,""zh"",""vi"")"),"hoạt động")</f>
        <v>hoạt động</v>
      </c>
      <c r="F168" s="9" t="s">
        <v>87</v>
      </c>
      <c r="G168" s="9"/>
    </row>
    <row r="169" spans="1:7">
      <c r="A169" s="23">
        <v>168</v>
      </c>
      <c r="B169" s="21" t="s">
        <v>1302</v>
      </c>
      <c r="C169" s="9"/>
      <c r="D169" s="21" t="s">
        <v>2934</v>
      </c>
      <c r="E169" s="9" t="str">
        <f ca="1">IFERROR(__xludf.DUMMYFUNCTION("GOOGLETRANSLATE(B169,""zh"",""vi"")"),"Tin nhắn ngắn")</f>
        <v>Tin nhắn ngắn</v>
      </c>
      <c r="F169" s="9" t="s">
        <v>150</v>
      </c>
      <c r="G169" s="9"/>
    </row>
    <row r="170" spans="1:7">
      <c r="A170" s="23">
        <v>169</v>
      </c>
      <c r="B170" s="21" t="s">
        <v>2935</v>
      </c>
      <c r="C170" s="9"/>
      <c r="D170" s="21" t="s">
        <v>2936</v>
      </c>
      <c r="E170" s="9" t="str">
        <f ca="1">IFERROR(__xludf.DUMMYFUNCTION("GOOGLETRANSLATE(B170,""zh"",""vi"")"),"Tắc đường")</f>
        <v>Tắc đường</v>
      </c>
      <c r="F170" s="9" t="s">
        <v>94</v>
      </c>
      <c r="G170" s="9"/>
    </row>
    <row r="171" spans="1:7">
      <c r="A171" s="23">
        <v>170</v>
      </c>
      <c r="B171" s="21" t="s">
        <v>1304</v>
      </c>
      <c r="C171" s="9"/>
      <c r="D171" s="21" t="s">
        <v>156</v>
      </c>
      <c r="E171" s="9" t="str">
        <f ca="1">IFERROR(__xludf.DUMMYFUNCTION("GOOGLETRANSLATE(B171,""zh"",""vi"")"),"Đội")</f>
        <v>Đội</v>
      </c>
      <c r="F171" s="9" t="s">
        <v>87</v>
      </c>
      <c r="G171" s="9"/>
    </row>
    <row r="172" spans="1:7">
      <c r="A172" s="23">
        <v>171</v>
      </c>
      <c r="B172" s="21" t="s">
        <v>2937</v>
      </c>
      <c r="C172" s="9"/>
      <c r="D172" s="21" t="s">
        <v>2938</v>
      </c>
      <c r="E172" s="9" t="str">
        <f ca="1">IFERROR(__xludf.DUMMYFUNCTION("GOOGLETRANSLATE(B172,""zh"",""vi"")"),"phía bên kia")</f>
        <v>phía bên kia</v>
      </c>
      <c r="F172" s="9" t="s">
        <v>60</v>
      </c>
      <c r="G172" s="9"/>
    </row>
    <row r="173" spans="1:7">
      <c r="A173" s="23">
        <v>172</v>
      </c>
      <c r="B173" s="21" t="s">
        <v>1307</v>
      </c>
      <c r="C173" s="9"/>
      <c r="D173" s="21" t="s">
        <v>2939</v>
      </c>
      <c r="E173" s="9" t="str">
        <f ca="1">IFERROR(__xludf.DUMMYFUNCTION("GOOGLETRANSLATE(B173,""zh"",""vi"")"),"đối diện")</f>
        <v>đối diện</v>
      </c>
      <c r="F173" s="9" t="s">
        <v>87</v>
      </c>
      <c r="G173" s="9"/>
    </row>
    <row r="174" spans="1:7">
      <c r="A174" s="23">
        <v>173</v>
      </c>
      <c r="B174" s="21" t="s">
        <v>2940</v>
      </c>
      <c r="C174" s="9"/>
      <c r="D174" s="21" t="s">
        <v>2941</v>
      </c>
      <c r="E174" s="9" t="str">
        <f ca="1">IFERROR(__xludf.DUMMYFUNCTION("GOOGLETRANSLATE(B174,""zh"",""vi"")"),"vì")</f>
        <v>vì</v>
      </c>
      <c r="F174" s="9" t="s">
        <v>87</v>
      </c>
      <c r="G174" s="9"/>
    </row>
    <row r="175" spans="1:7">
      <c r="A175" s="23">
        <v>174</v>
      </c>
      <c r="B175" s="21" t="s">
        <v>2942</v>
      </c>
      <c r="C175" s="9"/>
      <c r="D175" s="21" t="s">
        <v>2943</v>
      </c>
      <c r="E175" s="9" t="str">
        <f ca="1">IFERROR(__xludf.DUMMYFUNCTION("GOOGLETRANSLATE(B175,""zh"",""vi"")"),"Thành viên nhóm")</f>
        <v>Thành viên nhóm</v>
      </c>
      <c r="F175" s="9" t="s">
        <v>48</v>
      </c>
      <c r="G175" s="9"/>
    </row>
    <row r="176" spans="1:7">
      <c r="A176" s="23">
        <v>175</v>
      </c>
      <c r="B176" s="21" t="s">
        <v>1305</v>
      </c>
      <c r="C176" s="9"/>
      <c r="D176" s="21" t="s">
        <v>2944</v>
      </c>
      <c r="E176" s="9" t="str">
        <f ca="1">IFERROR(__xludf.DUMMYFUNCTION("GOOGLETRANSLATE(B176,""zh"",""vi"")"),"trưởng nhóm")</f>
        <v>trưởng nhóm</v>
      </c>
      <c r="F176" s="9" t="s">
        <v>87</v>
      </c>
      <c r="G176" s="9"/>
    </row>
    <row r="177" spans="1:7">
      <c r="A177" s="23">
        <v>176</v>
      </c>
      <c r="B177" s="21" t="s">
        <v>2945</v>
      </c>
      <c r="C177" s="9"/>
      <c r="D177" s="21" t="s">
        <v>2946</v>
      </c>
      <c r="E177" s="9" t="str">
        <f ca="1">IFERROR(__xludf.DUMMYFUNCTION("GOOGLETRANSLATE(B177,""zh"",""vi"")"),"kì nghỉ")</f>
        <v>kì nghỉ</v>
      </c>
      <c r="F177" s="9" t="s">
        <v>34</v>
      </c>
      <c r="G177" s="9"/>
    </row>
    <row r="178" spans="1:7">
      <c r="A178" s="23">
        <v>177</v>
      </c>
      <c r="B178" s="21" t="s">
        <v>2947</v>
      </c>
      <c r="C178" s="9"/>
      <c r="D178" s="21" t="s">
        <v>2948</v>
      </c>
      <c r="E178" s="9" t="str">
        <f ca="1">IFERROR(__xludf.DUMMYFUNCTION("GOOGLETRANSLATE(B178,""zh"",""vi"")"),"Dun")</f>
        <v>Dun</v>
      </c>
      <c r="F178" s="9" t="s">
        <v>87</v>
      </c>
      <c r="G178" s="9"/>
    </row>
    <row r="179" spans="1:7">
      <c r="A179" s="23">
        <v>178</v>
      </c>
      <c r="B179" s="21" t="s">
        <v>1308</v>
      </c>
      <c r="C179" s="9"/>
      <c r="D179" s="21" t="s">
        <v>2949</v>
      </c>
      <c r="E179" s="9" t="str">
        <f ca="1">IFERROR(__xludf.DUMMYFUNCTION("GOOGLETRANSLATE(B179,""zh"",""vi"")"),"Làm sao")</f>
        <v>Làm sao</v>
      </c>
      <c r="F179" s="9" t="s">
        <v>87</v>
      </c>
      <c r="G179" s="9"/>
    </row>
    <row r="180" spans="1:7">
      <c r="A180" s="23">
        <v>179</v>
      </c>
      <c r="B180" s="21" t="s">
        <v>1309</v>
      </c>
      <c r="C180" s="9"/>
      <c r="D180" s="21" t="s">
        <v>2950</v>
      </c>
      <c r="E180" s="9" t="str">
        <f ca="1">IFERROR(__xludf.DUMMYFUNCTION("GOOGLETRANSLATE(B180,""zh"",""vi"")"),"hầu hết")</f>
        <v>hầu hết</v>
      </c>
      <c r="F180" s="9" t="s">
        <v>87</v>
      </c>
      <c r="G180" s="9"/>
    </row>
    <row r="181" spans="1:7">
      <c r="A181" s="23">
        <v>180</v>
      </c>
      <c r="B181" s="21" t="s">
        <v>2951</v>
      </c>
      <c r="C181" s="9"/>
      <c r="D181" s="21" t="s">
        <v>2952</v>
      </c>
      <c r="E181" s="9" t="str">
        <f ca="1">IFERROR(__xludf.DUMMYFUNCTION("GOOGLETRANSLATE(B181,""zh"",""vi"")"),"Phong phú")</f>
        <v>Phong phú</v>
      </c>
      <c r="F181" s="9" t="s">
        <v>87</v>
      </c>
      <c r="G181" s="9"/>
    </row>
    <row r="182" spans="1:7">
      <c r="A182" s="23">
        <v>181</v>
      </c>
      <c r="B182" s="21" t="s">
        <v>2953</v>
      </c>
      <c r="C182" s="9"/>
      <c r="D182" s="21" t="s">
        <v>2954</v>
      </c>
      <c r="E182" s="9" t="str">
        <f ca="1">IFERROR(__xludf.DUMMYFUNCTION("GOOGLETRANSLATE(B182,""zh"",""vi"")"),"người đọc")</f>
        <v>người đọc</v>
      </c>
      <c r="F182" s="9" t="s">
        <v>7</v>
      </c>
      <c r="G182" s="9"/>
    </row>
    <row r="183" spans="1:7">
      <c r="A183" s="23">
        <v>182</v>
      </c>
      <c r="B183" s="21" t="s">
        <v>2955</v>
      </c>
      <c r="C183" s="9"/>
      <c r="D183" s="21" t="s">
        <v>2956</v>
      </c>
      <c r="E183" s="9" t="str">
        <f ca="1">IFERROR(__xludf.DUMMYFUNCTION("GOOGLETRANSLATE(B183,""zh"",""vi"")"),"bụng")</f>
        <v>bụng</v>
      </c>
      <c r="F183" s="9" t="s">
        <v>87</v>
      </c>
      <c r="G183" s="9"/>
    </row>
    <row r="184" spans="1:7">
      <c r="A184" s="23">
        <v>183</v>
      </c>
      <c r="B184" s="21" t="s">
        <v>2957</v>
      </c>
      <c r="C184" s="9"/>
      <c r="D184" s="21" t="s">
        <v>2958</v>
      </c>
      <c r="E184" s="9" t="str">
        <f ca="1">IFERROR(__xludf.DUMMYFUNCTION("GOOGLETRANSLATE(B184,""zh"",""vi"")"),"Và")</f>
        <v>Và</v>
      </c>
      <c r="F184" s="9" t="s">
        <v>87</v>
      </c>
      <c r="G184" s="9"/>
    </row>
    <row r="185" spans="1:7">
      <c r="A185" s="23">
        <v>184</v>
      </c>
      <c r="B185" s="21" t="s">
        <v>2959</v>
      </c>
      <c r="C185" s="9"/>
      <c r="D185" s="21" t="s">
        <v>2960</v>
      </c>
      <c r="E185" s="9" t="str">
        <f ca="1">IFERROR(__xludf.DUMMYFUNCTION("GOOGLETRANSLATE(B185,""zh"",""vi"")"),"đứa trẻ")</f>
        <v>đứa trẻ</v>
      </c>
      <c r="F185" s="9" t="s">
        <v>107</v>
      </c>
      <c r="G185" s="9"/>
    </row>
    <row r="186" spans="1:7">
      <c r="A186" s="23">
        <v>185</v>
      </c>
      <c r="B186" s="21" t="s">
        <v>2961</v>
      </c>
      <c r="C186" s="9"/>
      <c r="D186" s="21" t="s">
        <v>2962</v>
      </c>
      <c r="E186" s="9" t="str">
        <f ca="1">IFERROR(__xludf.DUMMYFUNCTION("GOOGLETRANSLATE(B186,""zh"",""vi"")"),"Pháp luật")</f>
        <v>Pháp luật</v>
      </c>
      <c r="F186" s="9" t="s">
        <v>87</v>
      </c>
      <c r="G186" s="9"/>
    </row>
    <row r="187" spans="1:7">
      <c r="A187" s="23">
        <v>186</v>
      </c>
      <c r="B187" s="21" t="s">
        <v>2963</v>
      </c>
      <c r="C187" s="9"/>
      <c r="D187" s="21" t="s">
        <v>2964</v>
      </c>
      <c r="E187" s="9" t="str">
        <f ca="1">IFERROR(__xludf.DUMMYFUNCTION("GOOGLETRANSLATE(B187,""zh"",""vi"")"),"vấn đề")</f>
        <v>vấn đề</v>
      </c>
      <c r="F187" s="9" t="s">
        <v>150</v>
      </c>
      <c r="G187" s="9"/>
    </row>
    <row r="188" spans="1:7">
      <c r="A188" s="23">
        <v>187</v>
      </c>
      <c r="B188" s="21" t="s">
        <v>2965</v>
      </c>
      <c r="C188" s="9"/>
      <c r="D188" s="21" t="s">
        <v>2966</v>
      </c>
      <c r="E188" s="9" t="str">
        <f ca="1">IFERROR(__xludf.DUMMYFUNCTION("GOOGLETRANSLATE(B188,""zh"",""vi"")"),"pháp luật")</f>
        <v>pháp luật</v>
      </c>
      <c r="F188" s="9" t="s">
        <v>87</v>
      </c>
      <c r="G188" s="9"/>
    </row>
    <row r="189" spans="1:7">
      <c r="A189" s="23">
        <v>188</v>
      </c>
      <c r="B189" s="21" t="s">
        <v>2967</v>
      </c>
      <c r="C189" s="9"/>
      <c r="D189" s="21" t="s">
        <v>2968</v>
      </c>
      <c r="E189" s="9" t="str">
        <f ca="1">IFERROR(__xludf.DUMMYFUNCTION("GOOGLETRANSLATE(B189,""zh"",""vi"")"),"làm phiền")</f>
        <v>làm phiền</v>
      </c>
      <c r="F189" s="9" t="s">
        <v>87</v>
      </c>
      <c r="G189" s="9"/>
    </row>
    <row r="190" spans="1:7">
      <c r="A190" s="23">
        <v>189</v>
      </c>
      <c r="B190" s="21" t="s">
        <v>2969</v>
      </c>
      <c r="C190" s="9"/>
      <c r="D190" s="21" t="s">
        <v>2970</v>
      </c>
      <c r="E190" s="9" t="str">
        <f ca="1">IFERROR(__xludf.DUMMYFUNCTION("GOOGLETRANSLATE(B190,""zh"",""vi"")"),"phản đối")</f>
        <v>phản đối</v>
      </c>
      <c r="F190" s="9" t="s">
        <v>87</v>
      </c>
      <c r="G190" s="9"/>
    </row>
    <row r="191" spans="1:7">
      <c r="A191" s="23">
        <v>190</v>
      </c>
      <c r="B191" s="21" t="s">
        <v>2971</v>
      </c>
      <c r="C191" s="9"/>
      <c r="D191" s="21" t="s">
        <v>2972</v>
      </c>
      <c r="E191" s="9" t="str">
        <f ca="1">IFERROR(__xludf.DUMMYFUNCTION("GOOGLETRANSLATE(B191,""zh"",""vi"")"),"chủ nhà")</f>
        <v>chủ nhà</v>
      </c>
      <c r="F191" s="9" t="s">
        <v>90</v>
      </c>
      <c r="G191" s="9"/>
    </row>
    <row r="192" spans="1:7">
      <c r="A192" s="23">
        <v>191</v>
      </c>
      <c r="B192" s="21" t="s">
        <v>1316</v>
      </c>
      <c r="C192" s="9"/>
      <c r="D192" s="21" t="s">
        <v>2973</v>
      </c>
      <c r="E192" s="9" t="str">
        <f ca="1">IFERROR(__xludf.DUMMYFUNCTION("GOOGLETRANSLATE(B192,""zh"",""vi"")"),"diện mạo")</f>
        <v>diện mạo</v>
      </c>
      <c r="F192" s="9" t="s">
        <v>87</v>
      </c>
      <c r="G192" s="9"/>
    </row>
    <row r="193" spans="1:7">
      <c r="A193" s="23">
        <v>192</v>
      </c>
      <c r="B193" s="21" t="s">
        <v>2974</v>
      </c>
      <c r="C193" s="9"/>
      <c r="D193" s="21" t="s">
        <v>2975</v>
      </c>
      <c r="E193" s="9" t="str">
        <f ca="1">IFERROR(__xludf.DUMMYFUNCTION("GOOGLETRANSLATE(B193,""zh"",""vi"")"),"bỏ cuộc")</f>
        <v>bỏ cuộc</v>
      </c>
      <c r="F193" s="9" t="s">
        <v>87</v>
      </c>
      <c r="G193" s="9"/>
    </row>
    <row r="194" spans="1:7">
      <c r="A194" s="23">
        <v>193</v>
      </c>
      <c r="B194" s="21" t="s">
        <v>2976</v>
      </c>
      <c r="C194" s="9"/>
      <c r="D194" s="21" t="s">
        <v>2977</v>
      </c>
      <c r="E194" s="9" t="str">
        <f ca="1">IFERROR(__xludf.DUMMYFUNCTION("GOOGLETRANSLATE(B194,""zh"",""vi"")"),"Đường")</f>
        <v>Đường</v>
      </c>
      <c r="F194" s="9" t="s">
        <v>94</v>
      </c>
      <c r="G194" s="9"/>
    </row>
    <row r="195" spans="1:7">
      <c r="A195" s="23">
        <v>194</v>
      </c>
      <c r="B195" s="21" t="s">
        <v>2978</v>
      </c>
      <c r="C195" s="9"/>
      <c r="D195" s="21" t="s">
        <v>2979</v>
      </c>
      <c r="E195" s="9" t="str">
        <f ca="1">IFERROR(__xludf.DUMMYFUNCTION("GOOGLETRANSLATE(B195,""zh"",""vi"")"),"Thư giãn")</f>
        <v>Thư giãn</v>
      </c>
      <c r="F195" s="9" t="s">
        <v>87</v>
      </c>
      <c r="G195" s="9"/>
    </row>
    <row r="196" spans="1:7">
      <c r="A196" s="23">
        <v>195</v>
      </c>
      <c r="B196" s="21" t="s">
        <v>2980</v>
      </c>
      <c r="C196" s="9"/>
      <c r="D196" s="21" t="s">
        <v>2981</v>
      </c>
      <c r="E196" s="9" t="str">
        <f ca="1">IFERROR(__xludf.DUMMYFUNCTION("GOOGLETRANSLATE(B196,""zh"",""vi"")"),"thuê")</f>
        <v>thuê</v>
      </c>
      <c r="F196" s="9" t="s">
        <v>34</v>
      </c>
      <c r="G196" s="9"/>
    </row>
    <row r="197" spans="1:7">
      <c r="A197" s="23">
        <v>196</v>
      </c>
      <c r="B197" s="21" t="s">
        <v>2982</v>
      </c>
      <c r="C197" s="9"/>
      <c r="D197" s="21" t="s">
        <v>2983</v>
      </c>
      <c r="E197" s="9" t="str">
        <f ca="1">IFERROR(__xludf.DUMMYFUNCTION("GOOGLETRANSLATE(B197,""zh"",""vi"")"),"rắc rối")</f>
        <v>rắc rối</v>
      </c>
      <c r="F197" s="9" t="s">
        <v>87</v>
      </c>
      <c r="G197" s="9"/>
    </row>
    <row r="198" spans="1:7">
      <c r="A198" s="23">
        <v>197</v>
      </c>
      <c r="B198" s="21" t="s">
        <v>2984</v>
      </c>
      <c r="C198" s="9"/>
      <c r="D198" s="21" t="s">
        <v>2985</v>
      </c>
      <c r="E198" s="9" t="str">
        <f ca="1">IFERROR(__xludf.DUMMYFUNCTION("GOOGLETRANSLATE(B198,""zh"",""vi"")"),"dịch")</f>
        <v>dịch</v>
      </c>
      <c r="F198" s="9" t="s">
        <v>150</v>
      </c>
      <c r="G198" s="9"/>
    </row>
    <row r="199" spans="1:7">
      <c r="A199" s="23">
        <v>198</v>
      </c>
      <c r="B199" s="21" t="s">
        <v>2986</v>
      </c>
      <c r="C199" s="9"/>
      <c r="D199" s="21" t="s">
        <v>2987</v>
      </c>
      <c r="E199" s="9" t="str">
        <f ca="1">IFERROR(__xludf.DUMMYFUNCTION("GOOGLETRANSLATE(B199,""zh"",""vi"")"),"gửi")</f>
        <v>gửi</v>
      </c>
      <c r="F199" s="9" t="s">
        <v>87</v>
      </c>
      <c r="G199" s="9"/>
    </row>
    <row r="200" spans="1:7">
      <c r="A200" s="23">
        <v>199</v>
      </c>
      <c r="B200" s="21" t="s">
        <v>2988</v>
      </c>
      <c r="C200" s="9"/>
      <c r="D200" s="21" t="s">
        <v>2989</v>
      </c>
      <c r="E200" s="9" t="str">
        <f ca="1">IFERROR(__xludf.DUMMYFUNCTION("GOOGLETRANSLATE(B200,""zh"",""vi"")"),"phí")</f>
        <v>phí</v>
      </c>
      <c r="F200" s="9" t="s">
        <v>87</v>
      </c>
      <c r="G200" s="9"/>
    </row>
    <row r="201" spans="1:7">
      <c r="A201" s="23">
        <v>200</v>
      </c>
      <c r="B201" s="21" t="s">
        <v>2990</v>
      </c>
      <c r="C201" s="9"/>
      <c r="D201" s="21" t="s">
        <v>2991</v>
      </c>
      <c r="E201" s="9" t="str">
        <f ca="1">IFERROR(__xludf.DUMMYFUNCTION("GOOGLETRANSLATE(B201,""zh"",""vi"")"),"trị giá")</f>
        <v>trị giá</v>
      </c>
      <c r="F201" s="9" t="s">
        <v>87</v>
      </c>
      <c r="G201" s="9"/>
    </row>
    <row r="202" spans="1:7">
      <c r="A202" s="23">
        <v>201</v>
      </c>
      <c r="B202" s="21" t="s">
        <v>1321</v>
      </c>
      <c r="C202" s="9"/>
      <c r="D202" s="21" t="s">
        <v>2992</v>
      </c>
      <c r="E202" s="9" t="str">
        <f ca="1">IFERROR(__xludf.DUMMYFUNCTION("GOOGLETRANSLATE(B202,""zh"",""vi"")"),"chia sẻ")</f>
        <v>chia sẻ</v>
      </c>
      <c r="F202" s="9" t="s">
        <v>87</v>
      </c>
      <c r="G202" s="9"/>
    </row>
    <row r="203" spans="1:7">
      <c r="A203" s="23">
        <v>202</v>
      </c>
      <c r="B203" s="21" t="s">
        <v>2993</v>
      </c>
      <c r="C203" s="9"/>
      <c r="D203" s="21" t="s">
        <v>2994</v>
      </c>
      <c r="E203" s="9" t="str">
        <f ca="1">IFERROR(__xludf.DUMMYFUNCTION("GOOGLETRANSLATE(B203,""zh"",""vi"")"),"Giàu có")</f>
        <v>Giàu có</v>
      </c>
      <c r="F203" s="9" t="s">
        <v>87</v>
      </c>
      <c r="G203" s="9"/>
    </row>
    <row r="204" spans="1:7">
      <c r="A204" s="23">
        <v>203</v>
      </c>
      <c r="B204" s="21" t="s">
        <v>2995</v>
      </c>
      <c r="C204" s="9"/>
      <c r="D204" s="21" t="s">
        <v>2996</v>
      </c>
      <c r="E204" s="9" t="str">
        <f ca="1">IFERROR(__xludf.DUMMYFUNCTION("GOOGLETRANSLATE(B204,""zh"",""vi"")"),"phong cảnh")</f>
        <v>phong cảnh</v>
      </c>
      <c r="F204" s="9" t="s">
        <v>48</v>
      </c>
      <c r="G204" s="9"/>
    </row>
    <row r="205" spans="1:7">
      <c r="A205" s="23">
        <v>204</v>
      </c>
      <c r="B205" s="21" t="s">
        <v>1320</v>
      </c>
      <c r="C205" s="9"/>
      <c r="D205" s="21" t="s">
        <v>2997</v>
      </c>
      <c r="E205" s="9" t="str">
        <f ca="1">IFERROR(__xludf.DUMMYFUNCTION("GOOGLETRANSLATE(B205,""zh"",""vi"")"),"Phân số")</f>
        <v>Phân số</v>
      </c>
      <c r="F205" s="9" t="s">
        <v>21</v>
      </c>
      <c r="G205" s="9"/>
    </row>
    <row r="206" spans="1:7">
      <c r="A206" s="23">
        <v>205</v>
      </c>
      <c r="B206" s="21" t="s">
        <v>2998</v>
      </c>
      <c r="C206" s="9"/>
      <c r="D206" s="21" t="s">
        <v>2999</v>
      </c>
      <c r="E206" s="9" t="str">
        <f ca="1">IFERROR(__xludf.DUMMYFUNCTION("GOOGLETRANSLATE(B206,""zh"",""vi"")"),"Chia thành")</f>
        <v>Chia thành</v>
      </c>
      <c r="F206" s="9" t="s">
        <v>87</v>
      </c>
      <c r="G206" s="9"/>
    </row>
    <row r="207" spans="1:7">
      <c r="A207" s="23">
        <v>206</v>
      </c>
      <c r="B207" s="21" t="s">
        <v>3000</v>
      </c>
      <c r="C207" s="9"/>
      <c r="D207" s="21" t="s">
        <v>3001</v>
      </c>
      <c r="E207" s="9" t="str">
        <f ca="1">IFERROR(__xludf.DUMMYFUNCTION("GOOGLETRANSLATE(B207,""zh"",""vi"")"),"nếu không thì")</f>
        <v>nếu không thì</v>
      </c>
      <c r="F207" s="9" t="s">
        <v>7</v>
      </c>
      <c r="G207" s="9"/>
    </row>
    <row r="208" spans="1:7">
      <c r="A208" s="23">
        <v>207</v>
      </c>
      <c r="B208" s="21" t="s">
        <v>3002</v>
      </c>
      <c r="C208" s="9"/>
      <c r="D208" s="21" t="s">
        <v>3003</v>
      </c>
      <c r="E208" s="9" t="str">
        <f ca="1">IFERROR(__xludf.DUMMYFUNCTION("GOOGLETRANSLATE(B208,""zh"",""vi"")"),"khung")</f>
        <v>khung</v>
      </c>
      <c r="F208" s="9" t="s">
        <v>87</v>
      </c>
      <c r="G208" s="9"/>
    </row>
    <row r="209" spans="1:7">
      <c r="A209" s="23">
        <v>208</v>
      </c>
      <c r="B209" s="21" t="s">
        <v>3004</v>
      </c>
      <c r="C209" s="9"/>
      <c r="D209" s="21" t="s">
        <v>3005</v>
      </c>
      <c r="E209" s="9" t="str">
        <f ca="1">IFERROR(__xludf.DUMMYFUNCTION("GOOGLETRANSLATE(B209,""zh"",""vi"")"),"chi trả")</f>
        <v>chi trả</v>
      </c>
      <c r="F209" s="9" t="s">
        <v>87</v>
      </c>
      <c r="G209" s="9"/>
    </row>
    <row r="210" spans="1:7">
      <c r="A210" s="23">
        <v>209</v>
      </c>
      <c r="B210" s="21" t="s">
        <v>3006</v>
      </c>
      <c r="C210" s="9"/>
      <c r="D210" s="21" t="s">
        <v>3007</v>
      </c>
      <c r="E210" s="9" t="str">
        <f ca="1">IFERROR(__xludf.DUMMYFUNCTION("GOOGLETRANSLATE(B210,""zh"",""vi"")"),"tuân theo")</f>
        <v>tuân theo</v>
      </c>
      <c r="F210" s="9" t="s">
        <v>87</v>
      </c>
      <c r="G210" s="9"/>
    </row>
    <row r="211" spans="1:7">
      <c r="A211" s="23">
        <v>210</v>
      </c>
      <c r="B211" s="21" t="s">
        <v>3008</v>
      </c>
      <c r="C211" s="9"/>
      <c r="D211" s="21" t="s">
        <v>3009</v>
      </c>
      <c r="E211" s="9" t="str">
        <f ca="1">IFERROR(__xludf.DUMMYFUNCTION("GOOGLETRANSLATE(B211,""zh"",""vi"")"),"cha mẹ")</f>
        <v>cha mẹ</v>
      </c>
      <c r="F211" s="9" t="s">
        <v>7</v>
      </c>
      <c r="G211" s="9"/>
    </row>
    <row r="212" spans="1:7">
      <c r="A212" s="23">
        <v>211</v>
      </c>
      <c r="B212" s="21" t="s">
        <v>3010</v>
      </c>
      <c r="C212" s="9"/>
      <c r="D212" s="21" t="s">
        <v>3011</v>
      </c>
      <c r="E212" s="9" t="str">
        <f ca="1">IFERROR(__xludf.DUMMYFUNCTION("GOOGLETRANSLATE(B212,""zh"",""vi"")"),"Cha và con gái")</f>
        <v>Cha và con gái</v>
      </c>
      <c r="F212" s="9" t="s">
        <v>7</v>
      </c>
      <c r="G212" s="9"/>
    </row>
    <row r="213" spans="1:7">
      <c r="A213" s="23">
        <v>212</v>
      </c>
      <c r="B213" s="21" t="s">
        <v>3012</v>
      </c>
      <c r="C213" s="9"/>
      <c r="D213" s="21" t="s">
        <v>3013</v>
      </c>
      <c r="E213" s="9" t="str">
        <f ca="1">IFERROR(__xludf.DUMMYFUNCTION("GOOGLETRANSLATE(B213,""zh"",""vi"")"),"Bố")</f>
        <v>Bố</v>
      </c>
      <c r="F213" s="9" t="s">
        <v>87</v>
      </c>
      <c r="G213" s="9"/>
    </row>
    <row r="214" spans="1:7">
      <c r="A214" s="23">
        <v>213</v>
      </c>
      <c r="B214" s="21" t="s">
        <v>3014</v>
      </c>
      <c r="C214" s="9"/>
      <c r="D214" s="21" t="s">
        <v>3015</v>
      </c>
      <c r="E214" s="9" t="str">
        <f ca="1">IFERROR(__xludf.DUMMYFUNCTION("GOOGLETRANSLATE(B214,""zh"",""vi"")"),"bản sao")</f>
        <v>bản sao</v>
      </c>
      <c r="F214" s="9" t="s">
        <v>87</v>
      </c>
      <c r="G214" s="9"/>
    </row>
    <row r="215" spans="1:7">
      <c r="A215" s="23">
        <v>214</v>
      </c>
      <c r="B215" s="21" t="s">
        <v>3016</v>
      </c>
      <c r="C215" s="9"/>
      <c r="D215" s="21" t="s">
        <v>3017</v>
      </c>
      <c r="E215" s="9" t="str">
        <f ca="1">IFERROR(__xludf.DUMMYFUNCTION("GOOGLETRANSLATE(B215,""zh"",""vi"")"),"tổ hợp")</f>
        <v>tổ hợp</v>
      </c>
      <c r="F215" s="9" t="s">
        <v>87</v>
      </c>
      <c r="G215" s="9"/>
    </row>
    <row r="216" spans="1:7">
      <c r="A216" s="23">
        <v>215</v>
      </c>
      <c r="B216" s="21" t="s">
        <v>3018</v>
      </c>
      <c r="C216" s="9"/>
      <c r="D216" s="21" t="s">
        <v>3019</v>
      </c>
      <c r="E216" s="9" t="str">
        <f ca="1">IFERROR(__xludf.DUMMYFUNCTION("GOOGLETRANSLATE(B216,""zh"",""vi"")"),"Chịu trách nhiệm")</f>
        <v>Chịu trách nhiệm</v>
      </c>
      <c r="F216" s="9" t="s">
        <v>7</v>
      </c>
      <c r="G216" s="9"/>
    </row>
    <row r="217" spans="1:7">
      <c r="A217" s="23">
        <v>216</v>
      </c>
      <c r="B217" s="21" t="s">
        <v>3020</v>
      </c>
      <c r="C217" s="9"/>
      <c r="D217" s="21" t="s">
        <v>3021</v>
      </c>
      <c r="E217" s="9" t="str">
        <f ca="1">IFERROR(__xludf.DUMMYFUNCTION("GOOGLETRANSLATE(B217,""zh"",""vi"")"),"người phụ trách")</f>
        <v>người phụ trách</v>
      </c>
      <c r="F217" s="9" t="s">
        <v>7</v>
      </c>
      <c r="G217" s="9"/>
    </row>
    <row r="218" spans="1:7">
      <c r="A218" s="23">
        <v>217</v>
      </c>
      <c r="B218" s="21" t="s">
        <v>3022</v>
      </c>
      <c r="C218" s="9"/>
      <c r="D218" s="21" t="s">
        <v>3023</v>
      </c>
      <c r="E218" s="9" t="str">
        <f ca="1">IFERROR(__xludf.DUMMYFUNCTION("GOOGLETRANSLATE(B218,""zh"",""vi"")"),"Cha và con trai")</f>
        <v>Cha và con trai</v>
      </c>
      <c r="F218" s="9" t="s">
        <v>7</v>
      </c>
      <c r="G218" s="9"/>
    </row>
    <row r="219" spans="1:7">
      <c r="A219" s="23">
        <v>218</v>
      </c>
      <c r="B219" s="21" t="s">
        <v>1324</v>
      </c>
      <c r="C219" s="9"/>
      <c r="D219" s="21" t="s">
        <v>3024</v>
      </c>
      <c r="E219" s="9" t="str">
        <f ca="1">IFERROR(__xludf.DUMMYFUNCTION("GOOGLETRANSLATE(B219,""zh"",""vi"")"),"thay đổi")</f>
        <v>thay đổi</v>
      </c>
      <c r="F219" s="9" t="s">
        <v>87</v>
      </c>
      <c r="G219" s="9"/>
    </row>
    <row r="220" spans="1:7">
      <c r="A220" s="23">
        <v>219</v>
      </c>
      <c r="B220" s="21" t="s">
        <v>1325</v>
      </c>
      <c r="C220" s="9"/>
      <c r="D220" s="21" t="s">
        <v>3025</v>
      </c>
      <c r="E220" s="9" t="str">
        <f ca="1">IFERROR(__xludf.DUMMYFUNCTION("GOOGLETRANSLATE(B220,""zh"",""vi"")"),"Thay đổi")</f>
        <v>Thay đổi</v>
      </c>
      <c r="F220" s="9" t="s">
        <v>87</v>
      </c>
      <c r="G220" s="9"/>
    </row>
    <row r="221" spans="1:7">
      <c r="A221" s="23">
        <v>220</v>
      </c>
      <c r="B221" s="21" t="s">
        <v>3026</v>
      </c>
      <c r="C221" s="9"/>
      <c r="D221" s="21" t="s">
        <v>3027</v>
      </c>
      <c r="E221" s="9" t="str">
        <f ca="1">IFERROR(__xludf.DUMMYFUNCTION("GOOGLETRANSLATE(B221,""zh"",""vi"")"),"cây bấc")</f>
        <v>cây bấc</v>
      </c>
      <c r="F221" s="9" t="s">
        <v>203</v>
      </c>
      <c r="G221" s="9"/>
    </row>
    <row r="222" spans="1:7">
      <c r="A222" s="23">
        <v>221</v>
      </c>
      <c r="B222" s="21" t="s">
        <v>3028</v>
      </c>
      <c r="C222" s="9"/>
      <c r="D222" s="21" t="s">
        <v>3027</v>
      </c>
      <c r="E222" s="9" t="str">
        <f ca="1">IFERROR(__xludf.DUMMYFUNCTION("GOOGLETRANSLATE(B222,""zh"",""vi"")"),"dám")</f>
        <v>dám</v>
      </c>
      <c r="F222" s="9" t="s">
        <v>87</v>
      </c>
      <c r="G222" s="9"/>
    </row>
    <row r="223" spans="1:7">
      <c r="A223" s="23">
        <v>222</v>
      </c>
      <c r="B223" s="21" t="s">
        <v>3029</v>
      </c>
      <c r="C223" s="9"/>
      <c r="D223" s="21" t="s">
        <v>3027</v>
      </c>
      <c r="E223" s="9" t="str">
        <f ca="1">IFERROR(__xludf.DUMMYFUNCTION("GOOGLETRANSLATE(B223,""zh"",""vi"")"),"cảm thấy")</f>
        <v>cảm thấy</v>
      </c>
      <c r="F223" s="9" t="s">
        <v>64</v>
      </c>
      <c r="G223" s="9"/>
    </row>
    <row r="224" spans="1:7">
      <c r="A224" s="23">
        <v>223</v>
      </c>
      <c r="B224" s="21" t="s">
        <v>1740</v>
      </c>
      <c r="C224" s="9"/>
      <c r="D224" s="21" t="s">
        <v>3030</v>
      </c>
      <c r="E224" s="9" t="str">
        <f ca="1">IFERROR(__xludf.DUMMYFUNCTION("GOOGLETRANSLATE(B224,""zh"",""vi"")"),"Khô")</f>
        <v>Khô</v>
      </c>
      <c r="F224" s="9" t="s">
        <v>87</v>
      </c>
      <c r="G224" s="9"/>
    </row>
    <row r="225" spans="1:7">
      <c r="A225" s="23">
        <v>224</v>
      </c>
      <c r="B225" s="21" t="s">
        <v>1326</v>
      </c>
      <c r="C225" s="9"/>
      <c r="D225" s="21" t="s">
        <v>3031</v>
      </c>
      <c r="E225" s="9" t="str">
        <f ca="1">IFERROR(__xludf.DUMMYFUNCTION("GOOGLETRANSLATE(B225,""zh"",""vi"")"),"Chúc mừng!")</f>
        <v>Chúc mừng!</v>
      </c>
      <c r="F225" s="9" t="s">
        <v>7</v>
      </c>
      <c r="G225" s="9"/>
    </row>
    <row r="226" spans="1:7">
      <c r="A226" s="23">
        <v>225</v>
      </c>
      <c r="B226" s="21" t="s">
        <v>1328</v>
      </c>
      <c r="C226" s="9"/>
      <c r="D226" s="21" t="s">
        <v>3032</v>
      </c>
      <c r="E226" s="9" t="str">
        <f ca="1">IFERROR(__xludf.DUMMYFUNCTION("GOOGLETRANSLATE(B226,""zh"",""vi"")"),"di chuyển")</f>
        <v>di chuyển</v>
      </c>
      <c r="F226" s="9" t="s">
        <v>87</v>
      </c>
      <c r="G226" s="9"/>
    </row>
    <row r="227" spans="1:7">
      <c r="A227" s="23">
        <v>226</v>
      </c>
      <c r="B227" s="21" t="s">
        <v>3033</v>
      </c>
      <c r="C227" s="9"/>
      <c r="D227" s="21" t="s">
        <v>3034</v>
      </c>
      <c r="E227" s="9" t="str">
        <f ca="1">IFERROR(__xludf.DUMMYFUNCTION("GOOGLETRANSLATE(B227,""zh"",""vi"")"),"đàn piano")</f>
        <v>đàn piano</v>
      </c>
      <c r="F227" s="9" t="s">
        <v>87</v>
      </c>
      <c r="G227" s="9"/>
    </row>
    <row r="228" spans="1:7">
      <c r="A228" s="23">
        <v>227</v>
      </c>
      <c r="B228" s="21" t="s">
        <v>1331</v>
      </c>
      <c r="C228" s="9"/>
      <c r="D228" s="21" t="s">
        <v>3035</v>
      </c>
      <c r="E228" s="9" t="str">
        <f ca="1">IFERROR(__xludf.DUMMYFUNCTION("GOOGLETRANSLATE(B228,""zh"",""vi"")"),"công việc")</f>
        <v>công việc</v>
      </c>
      <c r="F228" s="9" t="s">
        <v>7</v>
      </c>
      <c r="G228" s="9"/>
    </row>
    <row r="229" spans="1:7">
      <c r="A229" s="23">
        <v>228</v>
      </c>
      <c r="B229" s="21" t="s">
        <v>3036</v>
      </c>
      <c r="C229" s="9"/>
      <c r="D229" s="21" t="s">
        <v>3037</v>
      </c>
      <c r="E229" s="9" t="str">
        <f ca="1">IFERROR(__xludf.DUMMYFUNCTION("GOOGLETRANSLATE(B229,""zh"",""vi"")"),"Sự vội vàng")</f>
        <v>Sự vội vàng</v>
      </c>
      <c r="F229" s="9" t="s">
        <v>107</v>
      </c>
      <c r="G229" s="9"/>
    </row>
    <row r="230" spans="1:7">
      <c r="A230" s="23">
        <v>229</v>
      </c>
      <c r="B230" s="21" t="s">
        <v>1329</v>
      </c>
      <c r="C230" s="9"/>
      <c r="D230" s="21" t="s">
        <v>3038</v>
      </c>
      <c r="E230" s="9" t="str">
        <f ca="1">IFERROR(__xludf.DUMMYFUNCTION("GOOGLETRANSLATE(B230,""zh"",""vi"")"),"Cảm thấy")</f>
        <v>Cảm thấy</v>
      </c>
      <c r="F230" s="9" t="s">
        <v>64</v>
      </c>
      <c r="G230" s="9"/>
    </row>
    <row r="231" spans="1:7">
      <c r="A231" s="23">
        <v>230</v>
      </c>
      <c r="B231" s="21" t="s">
        <v>3039</v>
      </c>
      <c r="C231" s="9"/>
      <c r="D231" s="21" t="s">
        <v>3040</v>
      </c>
      <c r="E231" s="9" t="str">
        <f ca="1">IFERROR(__xludf.DUMMYFUNCTION("GOOGLETRANSLATE(B231,""zh"",""vi"")"),"nhanh lên")</f>
        <v>nhanh lên</v>
      </c>
      <c r="F231" s="9" t="s">
        <v>7</v>
      </c>
      <c r="G231" s="9"/>
    </row>
    <row r="232" spans="1:7">
      <c r="A232" s="23">
        <v>231</v>
      </c>
      <c r="B232" s="21" t="s">
        <v>3041</v>
      </c>
      <c r="C232" s="9"/>
      <c r="D232" s="21" t="s">
        <v>3042</v>
      </c>
      <c r="E232" s="9" t="str">
        <f ca="1">IFERROR(__xludf.DUMMYFUNCTION("GOOGLETRANSLATE(B232,""zh"",""vi"")"),"cảm xúc")</f>
        <v>cảm xúc</v>
      </c>
      <c r="F232" s="9" t="s">
        <v>64</v>
      </c>
      <c r="G232" s="9"/>
    </row>
    <row r="233" spans="1:7">
      <c r="A233" s="23">
        <v>232</v>
      </c>
      <c r="B233" s="21" t="s">
        <v>3043</v>
      </c>
      <c r="C233" s="9"/>
      <c r="D233" s="21" t="s">
        <v>3044</v>
      </c>
      <c r="E233" s="9" t="str">
        <f ca="1">IFERROR(__xludf.DUMMYFUNCTION("GOOGLETRANSLATE(B233,""zh"",""vi"")"),"Cảm động")</f>
        <v>Cảm động</v>
      </c>
      <c r="F233" s="9" t="s">
        <v>64</v>
      </c>
      <c r="G233" s="9"/>
    </row>
    <row r="234" spans="1:7">
      <c r="A234" s="23">
        <v>233</v>
      </c>
      <c r="B234" s="21" t="s">
        <v>3045</v>
      </c>
      <c r="C234" s="9"/>
      <c r="D234" s="21" t="s">
        <v>3046</v>
      </c>
      <c r="E234" s="9" t="str">
        <f ca="1">IFERROR(__xludf.DUMMYFUNCTION("GOOGLETRANSLATE(B234,""zh"",""vi"")"),"bắt kịp")</f>
        <v>bắt kịp</v>
      </c>
      <c r="F234" s="9" t="s">
        <v>87</v>
      </c>
      <c r="G234" s="9"/>
    </row>
    <row r="235" spans="1:7">
      <c r="A235" s="23">
        <v>234</v>
      </c>
      <c r="B235" s="21" t="s">
        <v>3047</v>
      </c>
      <c r="C235" s="9"/>
      <c r="D235" s="21" t="s">
        <v>3048</v>
      </c>
      <c r="E235" s="9" t="str">
        <f ca="1">IFERROR(__xludf.DUMMYFUNCTION("GOOGLETRANSLATE(B235,""zh"",""vi"")"),"Cảm giác")</f>
        <v>Cảm giác</v>
      </c>
      <c r="F235" s="9" t="s">
        <v>64</v>
      </c>
      <c r="G235" s="9"/>
    </row>
    <row r="236" spans="1:7">
      <c r="A236" s="23">
        <v>235</v>
      </c>
      <c r="B236" s="21" t="s">
        <v>1330</v>
      </c>
      <c r="C236" s="9"/>
      <c r="D236" s="21" t="s">
        <v>3049</v>
      </c>
      <c r="E236" s="9" t="str">
        <f ca="1">IFERROR(__xludf.DUMMYFUNCTION("GOOGLETRANSLATE(B236,""zh"",""vi"")"),"tri ân")</f>
        <v>tri ân</v>
      </c>
      <c r="F236" s="9" t="s">
        <v>87</v>
      </c>
      <c r="G236" s="9"/>
    </row>
    <row r="237" spans="1:7">
      <c r="A237" s="23">
        <v>236</v>
      </c>
      <c r="B237" s="21" t="s">
        <v>3050</v>
      </c>
      <c r="C237" s="9"/>
      <c r="D237" s="21" t="s">
        <v>3051</v>
      </c>
      <c r="E237" s="9" t="str">
        <f ca="1">IFERROR(__xludf.DUMMYFUNCTION("GOOGLETRANSLATE(B237,""zh"",""vi"")"),"Giá cao")</f>
        <v>Giá cao</v>
      </c>
      <c r="F237" s="9" t="s">
        <v>107</v>
      </c>
      <c r="G237" s="9"/>
    </row>
    <row r="238" spans="1:7">
      <c r="A238" s="23">
        <v>237</v>
      </c>
      <c r="B238" s="21" t="s">
        <v>3052</v>
      </c>
      <c r="C238" s="9"/>
      <c r="D238" s="21" t="s">
        <v>3053</v>
      </c>
      <c r="E238" s="9" t="str">
        <f ca="1">IFERROR(__xludf.DUMMYFUNCTION("GOOGLETRANSLATE(B238,""zh"",""vi"")"),"Kỳ thi tuyển sinh đại học")</f>
        <v>Kỳ thi tuyển sinh đại học</v>
      </c>
      <c r="F238" s="9" t="s">
        <v>7</v>
      </c>
      <c r="G238" s="9"/>
    </row>
    <row r="239" spans="1:7">
      <c r="A239" s="23">
        <v>238</v>
      </c>
      <c r="B239" s="21" t="s">
        <v>3054</v>
      </c>
      <c r="C239" s="9"/>
      <c r="D239" s="21" t="s">
        <v>3055</v>
      </c>
      <c r="E239" s="9" t="str">
        <f ca="1">IFERROR(__xludf.DUMMYFUNCTION("GOOGLETRANSLATE(B239,""zh"",""vi"")"),"tốc độ cao")</f>
        <v>tốc độ cao</v>
      </c>
      <c r="F239" s="9" t="s">
        <v>107</v>
      </c>
      <c r="G239" s="9"/>
    </row>
    <row r="240" spans="1:7">
      <c r="A240" s="23">
        <v>239</v>
      </c>
      <c r="B240" s="21" t="s">
        <v>3056</v>
      </c>
      <c r="C240" s="9"/>
      <c r="D240" s="21" t="s">
        <v>3057</v>
      </c>
      <c r="E240" s="9" t="str">
        <f ca="1">IFERROR(__xludf.DUMMYFUNCTION("GOOGLETRANSLATE(B240,""zh"",""vi"")"),"nhiệt độ cao")</f>
        <v>nhiệt độ cao</v>
      </c>
      <c r="F240" s="9" t="s">
        <v>107</v>
      </c>
      <c r="G240" s="9"/>
    </row>
    <row r="241" spans="1:7">
      <c r="A241" s="23">
        <v>240</v>
      </c>
      <c r="B241" s="21" t="s">
        <v>3058</v>
      </c>
      <c r="C241" s="9"/>
      <c r="D241" s="21" t="s">
        <v>3059</v>
      </c>
      <c r="E241" s="9" t="str">
        <f ca="1">IFERROR(__xludf.DUMMYFUNCTION("GOOGLETRANSLATE(B241,""zh"",""vi"")"),"Cao hơn")</f>
        <v>Cao hơn</v>
      </c>
      <c r="F241" s="9" t="s">
        <v>107</v>
      </c>
      <c r="G241" s="9"/>
    </row>
    <row r="242" spans="1:7">
      <c r="A242" s="23">
        <v>241</v>
      </c>
      <c r="B242" s="21" t="s">
        <v>3060</v>
      </c>
      <c r="C242" s="9"/>
      <c r="D242" s="21" t="s">
        <v>192</v>
      </c>
      <c r="E242" s="9" t="str">
        <f ca="1">IFERROR(__xludf.DUMMYFUNCTION("GOOGLETRANSLATE(B242,""zh"",""vi"")"),"mỗi")</f>
        <v>mỗi</v>
      </c>
      <c r="F242" s="9" t="s">
        <v>87</v>
      </c>
      <c r="G242" s="9"/>
    </row>
    <row r="243" spans="1:7">
      <c r="A243" s="23">
        <v>242</v>
      </c>
      <c r="B243" s="21" t="s">
        <v>3061</v>
      </c>
      <c r="C243" s="9"/>
      <c r="D243" s="21" t="s">
        <v>3062</v>
      </c>
      <c r="E243" s="9" t="str">
        <f ca="1">IFERROR(__xludf.DUMMYFUNCTION("GOOGLETRANSLATE(B243,""zh"",""vi"")"),"cánh tay")</f>
        <v>cánh tay</v>
      </c>
      <c r="F243" s="9" t="s">
        <v>64</v>
      </c>
      <c r="G243" s="9"/>
    </row>
    <row r="244" spans="1:7">
      <c r="A244" s="23">
        <v>243</v>
      </c>
      <c r="B244" s="21" t="s">
        <v>3063</v>
      </c>
      <c r="C244" s="9"/>
      <c r="D244" s="21" t="s">
        <v>3064</v>
      </c>
      <c r="E244" s="9" t="str">
        <f ca="1">IFERROR(__xludf.DUMMYFUNCTION("GOOGLETRANSLATE(B244,""zh"",""vi"")"),"nhiều nơi")</f>
        <v>nhiều nơi</v>
      </c>
      <c r="F244" s="9" t="s">
        <v>90</v>
      </c>
      <c r="G244" s="9"/>
    </row>
    <row r="245" spans="1:7">
      <c r="A245" s="23">
        <v>244</v>
      </c>
      <c r="B245" s="21" t="s">
        <v>3065</v>
      </c>
      <c r="C245" s="9"/>
      <c r="D245" s="21" t="s">
        <v>3066</v>
      </c>
      <c r="E245" s="9" t="str">
        <f ca="1">IFERROR(__xludf.DUMMYFUNCTION("GOOGLETRANSLATE(B245,""zh"",""vi"")"),"mỗi")</f>
        <v>mỗi</v>
      </c>
      <c r="F245" s="9" t="s">
        <v>87</v>
      </c>
      <c r="G245" s="9"/>
    </row>
    <row r="246" spans="1:7">
      <c r="A246" s="23">
        <v>245</v>
      </c>
      <c r="B246" s="21" t="s">
        <v>3067</v>
      </c>
      <c r="C246" s="9"/>
      <c r="D246" s="21" t="s">
        <v>3068</v>
      </c>
      <c r="E246" s="9" t="str">
        <f ca="1">IFERROR(__xludf.DUMMYFUNCTION("GOOGLETRANSLATE(B246,""zh"",""vi"")"),"hơn")</f>
        <v>hơn</v>
      </c>
      <c r="F246" s="9" t="s">
        <v>87</v>
      </c>
      <c r="G246" s="9"/>
    </row>
    <row r="247" spans="1:7">
      <c r="A247" s="23">
        <v>246</v>
      </c>
      <c r="B247" s="21" t="s">
        <v>3069</v>
      </c>
      <c r="C247" s="9"/>
      <c r="D247" s="21" t="s">
        <v>3070</v>
      </c>
      <c r="E247" s="9" t="str">
        <f ca="1">IFERROR(__xludf.DUMMYFUNCTION("GOOGLETRANSLATE(B247,""zh"",""vi"")"),"hát")</f>
        <v>hát</v>
      </c>
      <c r="F247" s="9" t="s">
        <v>87</v>
      </c>
      <c r="G247" s="9"/>
    </row>
    <row r="248" spans="1:7">
      <c r="A248" s="23">
        <v>247</v>
      </c>
      <c r="B248" s="21" t="s">
        <v>3071</v>
      </c>
      <c r="C248" s="9"/>
      <c r="D248" s="21" t="s">
        <v>3072</v>
      </c>
      <c r="E248" s="9" t="str">
        <f ca="1">IFERROR(__xludf.DUMMYFUNCTION("GOOGLETRANSLATE(B248,""zh"",""vi"")"),"ca sĩ")</f>
        <v>ca sĩ</v>
      </c>
      <c r="F248" s="9" t="s">
        <v>87</v>
      </c>
      <c r="G248" s="9"/>
    </row>
    <row r="249" spans="1:7">
      <c r="A249" s="23">
        <v>248</v>
      </c>
      <c r="B249" s="21" t="s">
        <v>3073</v>
      </c>
      <c r="C249" s="9"/>
      <c r="D249" s="21" t="s">
        <v>3074</v>
      </c>
      <c r="E249" s="9" t="str">
        <f ca="1">IFERROR(__xludf.DUMMYFUNCTION("GOOGLETRANSLATE(B249,""zh"",""vi"")"),"Các bạn thân mến")</f>
        <v>Các bạn thân mến</v>
      </c>
      <c r="F249" s="9" t="s">
        <v>7</v>
      </c>
      <c r="G249" s="9"/>
    </row>
    <row r="250" spans="1:7">
      <c r="A250" s="23">
        <v>249</v>
      </c>
      <c r="B250" s="21" t="s">
        <v>3075</v>
      </c>
      <c r="C250" s="9"/>
      <c r="D250" s="21" t="s">
        <v>3076</v>
      </c>
      <c r="E250" s="9" t="str">
        <f ca="1">IFERROR(__xludf.DUMMYFUNCTION("GOOGLETRANSLATE(B250,""zh"",""vi"")"),"Nhiều")</f>
        <v>Nhiều</v>
      </c>
      <c r="F250" s="9" t="s">
        <v>107</v>
      </c>
      <c r="G250" s="9"/>
    </row>
    <row r="251" spans="1:7">
      <c r="A251" s="23">
        <v>250</v>
      </c>
      <c r="B251" s="21" t="s">
        <v>3077</v>
      </c>
      <c r="C251" s="9"/>
      <c r="D251" s="21" t="s">
        <v>3078</v>
      </c>
      <c r="E251" s="9" t="str">
        <f ca="1">IFERROR(__xludf.DUMMYFUNCTION("GOOGLETRANSLATE(B251,""zh"",""vi"")"),"chung")</f>
        <v>chung</v>
      </c>
      <c r="F251" s="9" t="s">
        <v>87</v>
      </c>
      <c r="G251" s="9"/>
    </row>
    <row r="252" spans="1:7">
      <c r="A252" s="23">
        <v>251</v>
      </c>
      <c r="B252" s="21" t="s">
        <v>3079</v>
      </c>
      <c r="C252" s="9"/>
      <c r="D252" s="21" t="s">
        <v>3080</v>
      </c>
      <c r="E252" s="9" t="str">
        <f ca="1">IFERROR(__xludf.DUMMYFUNCTION("GOOGLETRANSLATE(B252,""zh"",""vi"")"),"nhà máy")</f>
        <v>nhà máy</v>
      </c>
      <c r="F252" s="9" t="s">
        <v>48</v>
      </c>
      <c r="G252" s="9"/>
    </row>
    <row r="253" spans="1:7">
      <c r="A253" s="23">
        <v>252</v>
      </c>
      <c r="B253" s="21" t="s">
        <v>3081</v>
      </c>
      <c r="C253" s="9"/>
      <c r="D253" s="21" t="s">
        <v>3082</v>
      </c>
      <c r="E253" s="9" t="str">
        <f ca="1">IFERROR(__xludf.DUMMYFUNCTION("GOOGLETRANSLATE(B253,""zh"",""vi"")"),"cố gắng")</f>
        <v>cố gắng</v>
      </c>
      <c r="F253" s="9" t="s">
        <v>87</v>
      </c>
      <c r="G253" s="9"/>
    </row>
    <row r="254" spans="1:7">
      <c r="A254" s="23">
        <v>253</v>
      </c>
      <c r="B254" s="21" t="s">
        <v>3083</v>
      </c>
      <c r="C254" s="9"/>
      <c r="D254" s="21" t="s">
        <v>3084</v>
      </c>
      <c r="E254" s="9" t="str">
        <f ca="1">IFERROR(__xludf.DUMMYFUNCTION("GOOGLETRANSLATE(B254,""zh"",""vi"")"),"công cộng")</f>
        <v>công cộng</v>
      </c>
      <c r="F254" s="9" t="s">
        <v>7</v>
      </c>
      <c r="G254" s="9"/>
    </row>
    <row r="255" spans="1:7">
      <c r="A255" s="23">
        <v>254</v>
      </c>
      <c r="B255" s="21" t="s">
        <v>3085</v>
      </c>
      <c r="C255" s="9"/>
      <c r="D255" s="21" t="s">
        <v>3086</v>
      </c>
      <c r="E255" s="9" t="str">
        <f ca="1">IFERROR(__xludf.DUMMYFUNCTION("GOOGLETRANSLATE(B255,""zh"",""vi"")"),"bài tập về nhà")</f>
        <v>bài tập về nhà</v>
      </c>
      <c r="F255" s="9" t="s">
        <v>7</v>
      </c>
      <c r="G255" s="9"/>
    </row>
    <row r="256" spans="1:7">
      <c r="A256" s="23">
        <v>255</v>
      </c>
      <c r="B256" s="21" t="s">
        <v>1336</v>
      </c>
      <c r="C256" s="9"/>
      <c r="D256" s="21" t="s">
        <v>3087</v>
      </c>
      <c r="E256" s="9" t="str">
        <f ca="1">IFERROR(__xludf.DUMMYFUNCTION("GOOGLETRANSLATE(B256,""zh"",""vi"")"),"ki-lô-mét")</f>
        <v>ki-lô-mét</v>
      </c>
      <c r="F256" s="9" t="s">
        <v>21</v>
      </c>
      <c r="G256" s="9"/>
    </row>
    <row r="257" spans="1:7">
      <c r="A257" s="23">
        <v>256</v>
      </c>
      <c r="B257" s="21" t="s">
        <v>1337</v>
      </c>
      <c r="C257" s="9"/>
      <c r="D257" s="21" t="s">
        <v>3088</v>
      </c>
      <c r="E257" s="9" t="str">
        <f ca="1">IFERROR(__xludf.DUMMYFUNCTION("GOOGLETRANSLATE(B257,""zh"",""vi"")"),"đường cao tốc")</f>
        <v>đường cao tốc</v>
      </c>
      <c r="F257" s="9" t="s">
        <v>94</v>
      </c>
      <c r="G257" s="9"/>
    </row>
    <row r="258" spans="1:7">
      <c r="A258" s="23">
        <v>257</v>
      </c>
      <c r="B258" s="21" t="s">
        <v>3089</v>
      </c>
      <c r="C258" s="9"/>
      <c r="D258" s="21" t="s">
        <v>3090</v>
      </c>
      <c r="E258" s="9" t="str">
        <f ca="1">IFERROR(__xludf.DUMMYFUNCTION("GOOGLETRANSLATE(B258,""zh"",""vi"")"),"Công nhân")</f>
        <v>Công nhân</v>
      </c>
      <c r="F258" s="9" t="s">
        <v>7</v>
      </c>
      <c r="G258" s="9"/>
    </row>
    <row r="259" spans="1:7">
      <c r="A259" s="23">
        <v>258</v>
      </c>
      <c r="B259" s="21" t="s">
        <v>3091</v>
      </c>
      <c r="C259" s="9"/>
      <c r="D259" s="21" t="s">
        <v>3092</v>
      </c>
      <c r="E259" s="9" t="str">
        <f ca="1">IFERROR(__xludf.DUMMYFUNCTION("GOOGLETRANSLATE(B259,""zh"",""vi"")"),"chung")</f>
        <v>chung</v>
      </c>
      <c r="F259" s="9" t="s">
        <v>87</v>
      </c>
      <c r="G259" s="9"/>
    </row>
    <row r="260" spans="1:7">
      <c r="A260" s="23">
        <v>259</v>
      </c>
      <c r="B260" s="21" t="s">
        <v>3093</v>
      </c>
      <c r="C260" s="9"/>
      <c r="D260" s="21" t="s">
        <v>3094</v>
      </c>
      <c r="E260" s="9" t="str">
        <f ca="1">IFERROR(__xludf.DUMMYFUNCTION("GOOGLETRANSLATE(B260,""zh"",""vi"")"),"lương")</f>
        <v>lương</v>
      </c>
      <c r="F260" s="9" t="s">
        <v>115</v>
      </c>
      <c r="G260" s="9"/>
    </row>
    <row r="261" spans="1:7">
      <c r="A261" s="23">
        <v>260</v>
      </c>
      <c r="B261" s="21" t="s">
        <v>1339</v>
      </c>
      <c r="C261" s="9"/>
      <c r="D261" s="21" t="s">
        <v>3095</v>
      </c>
      <c r="E261" s="9" t="str">
        <f ca="1">IFERROR(__xludf.DUMMYFUNCTION("GOOGLETRANSLATE(B261,""zh"",""vi"")"),"đủ")</f>
        <v>đủ</v>
      </c>
      <c r="F261" s="9" t="s">
        <v>87</v>
      </c>
      <c r="G261" s="9"/>
    </row>
    <row r="262" spans="1:7">
      <c r="A262" s="23">
        <v>261</v>
      </c>
      <c r="B262" s="21" t="s">
        <v>3096</v>
      </c>
      <c r="C262" s="9"/>
      <c r="D262" s="21" t="s">
        <v>3097</v>
      </c>
      <c r="E262" s="9" t="str">
        <f ca="1">IFERROR(__xludf.DUMMYFUNCTION("GOOGLETRANSLATE(B262,""zh"",""vi"")"),"Mua")</f>
        <v>Mua</v>
      </c>
      <c r="F262" s="9" t="s">
        <v>87</v>
      </c>
      <c r="G262" s="9"/>
    </row>
    <row r="263" spans="1:7">
      <c r="A263" s="23">
        <v>262</v>
      </c>
      <c r="B263" s="21" t="s">
        <v>3098</v>
      </c>
      <c r="C263" s="9"/>
      <c r="D263" s="21" t="s">
        <v>3099</v>
      </c>
      <c r="E263" s="9" t="str">
        <f ca="1">IFERROR(__xludf.DUMMYFUNCTION("GOOGLETRANSLATE(B263,""zh"",""vi"")"),"Mua sắm")</f>
        <v>Mua sắm</v>
      </c>
      <c r="F263" s="9" t="s">
        <v>87</v>
      </c>
      <c r="G263" s="9"/>
    </row>
    <row r="264" spans="1:7">
      <c r="A264" s="23">
        <v>263</v>
      </c>
      <c r="B264" s="21" t="s">
        <v>3100</v>
      </c>
      <c r="C264" s="9"/>
      <c r="D264" s="21" t="s">
        <v>3101</v>
      </c>
      <c r="E264" s="9" t="str">
        <f ca="1">IFERROR(__xludf.DUMMYFUNCTION("GOOGLETRANSLATE(B264,""zh"",""vi"")"),"treo")</f>
        <v>treo</v>
      </c>
      <c r="F264" s="9" t="s">
        <v>87</v>
      </c>
      <c r="G264" s="9"/>
    </row>
    <row r="265" spans="1:7">
      <c r="A265" s="23">
        <v>264</v>
      </c>
      <c r="B265" s="21" t="s">
        <v>3102</v>
      </c>
      <c r="C265" s="9"/>
      <c r="D265" s="21" t="s">
        <v>3103</v>
      </c>
      <c r="E265" s="9" t="str">
        <f ca="1">IFERROR(__xludf.DUMMYFUNCTION("GOOGLETRANSLATE(B265,""zh"",""vi"")"),"Ống")</f>
        <v>Ống</v>
      </c>
      <c r="F265" s="9" t="s">
        <v>87</v>
      </c>
      <c r="G265" s="9"/>
    </row>
    <row r="266" spans="1:7">
      <c r="A266" s="23">
        <v>265</v>
      </c>
      <c r="B266" s="21" t="s">
        <v>3104</v>
      </c>
      <c r="C266" s="9"/>
      <c r="D266" s="21" t="s">
        <v>3105</v>
      </c>
      <c r="E266" s="9" t="str">
        <f ca="1">IFERROR(__xludf.DUMMYFUNCTION("GOOGLETRANSLATE(B266,""zh"",""vi"")"),"thăm nom")</f>
        <v>thăm nom</v>
      </c>
      <c r="F266" s="9" t="s">
        <v>87</v>
      </c>
      <c r="G266" s="9"/>
    </row>
    <row r="267" spans="1:7">
      <c r="A267" s="23">
        <v>266</v>
      </c>
      <c r="B267" s="21" t="s">
        <v>3106</v>
      </c>
      <c r="C267" s="9"/>
      <c r="D267" s="21" t="s">
        <v>3107</v>
      </c>
      <c r="E267" s="9" t="str">
        <f ca="1">IFERROR(__xludf.DUMMYFUNCTION("GOOGLETRANSLATE(B267,""zh"",""vi"")"),"Ánh sáng")</f>
        <v>Ánh sáng</v>
      </c>
      <c r="F267" s="9" t="s">
        <v>34</v>
      </c>
      <c r="G267" s="9"/>
    </row>
    <row r="268" spans="1:7">
      <c r="A268" s="23">
        <v>267</v>
      </c>
      <c r="B268" s="21" t="s">
        <v>3108</v>
      </c>
      <c r="C268" s="9"/>
      <c r="D268" s="21" t="s">
        <v>3109</v>
      </c>
      <c r="E268" s="9" t="str">
        <f ca="1">IFERROR(__xludf.DUMMYFUNCTION("GOOGLETRANSLATE(B268,""zh"",""vi"")"),"phát tin")</f>
        <v>phát tin</v>
      </c>
      <c r="F268" s="9" t="s">
        <v>150</v>
      </c>
      <c r="G268" s="9"/>
    </row>
    <row r="269" spans="1:7">
      <c r="A269" s="23">
        <v>268</v>
      </c>
      <c r="B269" s="21" t="s">
        <v>1345</v>
      </c>
      <c r="C269" s="9"/>
      <c r="D269" s="21" t="s">
        <v>3110</v>
      </c>
      <c r="E269" s="9" t="str">
        <f ca="1">IFERROR(__xludf.DUMMYFUNCTION("GOOGLETRANSLATE(B269,""zh"",""vi"")"),"quảng cáo")</f>
        <v>quảng cáo</v>
      </c>
      <c r="F269" s="9" t="s">
        <v>87</v>
      </c>
      <c r="G269" s="9"/>
    </row>
    <row r="270" spans="1:7">
      <c r="A270" s="23">
        <v>269</v>
      </c>
      <c r="B270" s="21" t="s">
        <v>3111</v>
      </c>
      <c r="C270" s="9"/>
      <c r="D270" s="21" t="s">
        <v>3112</v>
      </c>
      <c r="E270" s="9" t="str">
        <f ca="1">IFERROR(__xludf.DUMMYFUNCTION("GOOGLETRANSLATE(B270,""zh"",""vi"")"),"chìa khóa")</f>
        <v>chìa khóa</v>
      </c>
      <c r="F270" s="9" t="s">
        <v>48</v>
      </c>
      <c r="G270" s="9"/>
    </row>
    <row r="271" spans="1:7">
      <c r="A271" s="23">
        <v>270</v>
      </c>
      <c r="B271" s="21" t="s">
        <v>3113</v>
      </c>
      <c r="C271" s="9"/>
      <c r="D271" s="21" t="s">
        <v>3114</v>
      </c>
      <c r="E271" s="9" t="str">
        <f ca="1">IFERROR(__xludf.DUMMYFUNCTION("GOOGLETRANSLATE(B271,""zh"",""vi"")"),"Đồng hồ")</f>
        <v>Đồng hồ</v>
      </c>
      <c r="F271" s="9" t="s">
        <v>48</v>
      </c>
      <c r="G271" s="9"/>
    </row>
    <row r="272" spans="1:7">
      <c r="A272" s="23">
        <v>271</v>
      </c>
      <c r="B272" s="21" t="s">
        <v>3115</v>
      </c>
      <c r="C272" s="9"/>
      <c r="D272" s="21" t="s">
        <v>3116</v>
      </c>
      <c r="E272" s="9" t="str">
        <f ca="1">IFERROR(__xludf.DUMMYFUNCTION("GOOGLETRANSLATE(B272,""zh"",""vi"")"),"quản lý")</f>
        <v>quản lý</v>
      </c>
      <c r="F272" s="9" t="s">
        <v>87</v>
      </c>
      <c r="G272" s="9"/>
    </row>
    <row r="273" spans="1:7">
      <c r="A273" s="23">
        <v>272</v>
      </c>
      <c r="B273" s="21" t="s">
        <v>3117</v>
      </c>
      <c r="C273" s="9"/>
      <c r="D273" s="21" t="s">
        <v>3118</v>
      </c>
      <c r="E273" s="9" t="str">
        <f ca="1">IFERROR(__xludf.DUMMYFUNCTION("GOOGLETRANSLATE(B273,""zh"",""vi"")"),"khán giả")</f>
        <v>khán giả</v>
      </c>
      <c r="F273" s="9" t="s">
        <v>87</v>
      </c>
      <c r="G273" s="9"/>
    </row>
    <row r="274" spans="1:7">
      <c r="A274" s="23">
        <v>273</v>
      </c>
      <c r="B274" s="21" t="s">
        <v>3119</v>
      </c>
      <c r="C274" s="9"/>
      <c r="D274" s="21" t="s">
        <v>3120</v>
      </c>
      <c r="E274" s="9" t="str">
        <f ca="1">IFERROR(__xludf.DUMMYFUNCTION("GOOGLETRANSLATE(B274,""zh"",""vi"")"),"Quy định")</f>
        <v>Quy định</v>
      </c>
      <c r="F274" s="9" t="s">
        <v>87</v>
      </c>
      <c r="G274" s="9"/>
    </row>
    <row r="275" spans="1:7">
      <c r="A275" s="23">
        <v>274</v>
      </c>
      <c r="B275" s="21" t="s">
        <v>3121</v>
      </c>
      <c r="C275" s="9"/>
      <c r="D275" s="21" t="s">
        <v>3122</v>
      </c>
      <c r="E275" s="9" t="str">
        <f ca="1">IFERROR(__xludf.DUMMYFUNCTION("GOOGLETRANSLATE(B275,""zh"",""vi"")"),"ước lượng")</f>
        <v>ước lượng</v>
      </c>
      <c r="F275" s="9" t="s">
        <v>21</v>
      </c>
      <c r="G275" s="9"/>
    </row>
    <row r="276" spans="1:7">
      <c r="A276" s="23">
        <v>275</v>
      </c>
      <c r="B276" s="21" t="s">
        <v>1342</v>
      </c>
      <c r="C276" s="9"/>
      <c r="D276" s="21" t="s">
        <v>3123</v>
      </c>
      <c r="E276" s="9" t="str">
        <f ca="1">IFERROR(__xludf.DUMMYFUNCTION("GOOGLETRANSLATE(B276,""zh"",""vi"")"),"khách hàng")</f>
        <v>khách hàng</v>
      </c>
      <c r="F276" s="9" t="s">
        <v>7</v>
      </c>
      <c r="G276" s="9"/>
    </row>
    <row r="277" spans="1:7">
      <c r="A277" s="23">
        <v>276</v>
      </c>
      <c r="B277" s="21" t="s">
        <v>3124</v>
      </c>
      <c r="C277" s="9"/>
      <c r="D277" s="21" t="s">
        <v>3125</v>
      </c>
      <c r="E277" s="9" t="str">
        <f ca="1">IFERROR(__xludf.DUMMYFUNCTION("GOOGLETRANSLATE(B277,""zh"",""vi"")"),"khuyến khích")</f>
        <v>khuyến khích</v>
      </c>
      <c r="F277" s="9" t="s">
        <v>87</v>
      </c>
      <c r="G277" s="9"/>
    </row>
    <row r="278" spans="1:7">
      <c r="A278" s="23">
        <v>277</v>
      </c>
      <c r="B278" s="21" t="s">
        <v>3126</v>
      </c>
      <c r="C278" s="9"/>
      <c r="D278" s="21" t="s">
        <v>3127</v>
      </c>
      <c r="E278" s="9" t="str">
        <f ca="1">IFERROR(__xludf.DUMMYFUNCTION("GOOGLETRANSLATE(B278,""zh"",""vi"")"),"con gái")</f>
        <v>con gái</v>
      </c>
      <c r="F278" s="9" t="s">
        <v>87</v>
      </c>
      <c r="G278" s="9"/>
    </row>
    <row r="279" spans="1:7">
      <c r="A279" s="23">
        <v>278</v>
      </c>
      <c r="B279" s="21" t="s">
        <v>3128</v>
      </c>
      <c r="C279" s="9"/>
      <c r="D279" s="21" t="s">
        <v>3129</v>
      </c>
      <c r="E279" s="9" t="str">
        <f ca="1">IFERROR(__xludf.DUMMYFUNCTION("GOOGLETRANSLATE(B279,""zh"",""vi"")"),"quá trình")</f>
        <v>quá trình</v>
      </c>
      <c r="F279" s="9" t="s">
        <v>87</v>
      </c>
      <c r="G279" s="9"/>
    </row>
    <row r="280" spans="1:7">
      <c r="A280" s="23">
        <v>279</v>
      </c>
      <c r="B280" s="21" t="s">
        <v>3130</v>
      </c>
      <c r="C280" s="9"/>
      <c r="D280" s="21" t="s">
        <v>3131</v>
      </c>
      <c r="E280" s="9" t="str">
        <f ca="1">IFERROR(__xludf.DUMMYFUNCTION("GOOGLETRANSLATE(B280,""zh"",""vi"")"),"Quốc tịch")</f>
        <v>Quốc tịch</v>
      </c>
      <c r="F280" s="9" t="s">
        <v>87</v>
      </c>
      <c r="G280" s="9"/>
    </row>
    <row r="281" spans="1:7">
      <c r="A281" s="23">
        <v>280</v>
      </c>
      <c r="B281" s="21" t="s">
        <v>1346</v>
      </c>
      <c r="C281" s="9"/>
      <c r="D281" s="21" t="s">
        <v>3132</v>
      </c>
      <c r="E281" s="9" t="str">
        <f ca="1">IFERROR(__xludf.DUMMYFUNCTION("GOOGLETRANSLATE(B281,""zh"",""vi"")"),"tính quốc tế")</f>
        <v>tính quốc tế</v>
      </c>
      <c r="F281" s="9" t="s">
        <v>87</v>
      </c>
      <c r="G281" s="9"/>
    </row>
    <row r="282" spans="1:7">
      <c r="A282" s="23">
        <v>281</v>
      </c>
      <c r="B282" s="21" t="s">
        <v>3133</v>
      </c>
      <c r="C282" s="9"/>
      <c r="D282" s="21" t="s">
        <v>3134</v>
      </c>
      <c r="E282" s="9" t="str">
        <f ca="1">IFERROR(__xludf.DUMMYFUNCTION("GOOGLETRANSLATE(B282,""zh"",""vi"")"),"nước ép")</f>
        <v>nước ép</v>
      </c>
      <c r="F282" s="9" t="s">
        <v>87</v>
      </c>
      <c r="G282" s="9"/>
    </row>
    <row r="283" spans="1:7">
      <c r="A283" s="23">
        <v>282</v>
      </c>
      <c r="B283" s="21" t="s">
        <v>1341</v>
      </c>
      <c r="C283" s="9"/>
      <c r="D283" s="21" t="s">
        <v>3135</v>
      </c>
      <c r="E283" s="9" t="str">
        <f ca="1">IFERROR(__xludf.DUMMYFUNCTION("GOOGLETRANSLATE(B283,""zh"",""vi"")"),"cố ý")</f>
        <v>cố ý</v>
      </c>
      <c r="F283" s="9" t="s">
        <v>87</v>
      </c>
      <c r="G283" s="9"/>
    </row>
    <row r="284" spans="1:7">
      <c r="A284" s="23">
        <v>283</v>
      </c>
      <c r="B284" s="21" t="s">
        <v>3136</v>
      </c>
      <c r="C284" s="9"/>
      <c r="D284" s="21" t="s">
        <v>3137</v>
      </c>
      <c r="E284" s="9" t="str">
        <f ca="1">IFERROR(__xludf.DUMMYFUNCTION("GOOGLETRANSLATE(B284,""zh"",""vi"")"),"xấu hổ")</f>
        <v>xấu hổ</v>
      </c>
      <c r="F284" s="9" t="s">
        <v>107</v>
      </c>
      <c r="G284" s="9"/>
    </row>
    <row r="285" spans="1:7">
      <c r="A285" s="23">
        <v>284</v>
      </c>
      <c r="B285" s="21" t="s">
        <v>3138</v>
      </c>
      <c r="C285" s="9"/>
      <c r="D285" s="21" t="s">
        <v>3139</v>
      </c>
      <c r="E285" s="9" t="str">
        <f ca="1">IFERROR(__xludf.DUMMYFUNCTION("GOOGLETRANSLATE(B285,""zh"",""vi"")"),"đại dương")</f>
        <v>đại dương</v>
      </c>
      <c r="F285" s="9" t="s">
        <v>87</v>
      </c>
      <c r="G285" s="9"/>
    </row>
    <row r="286" spans="1:7">
      <c r="A286" s="23">
        <v>285</v>
      </c>
      <c r="B286" s="21" t="s">
        <v>3140</v>
      </c>
      <c r="C286" s="9"/>
      <c r="D286" s="21" t="s">
        <v>3141</v>
      </c>
      <c r="E286" s="9" t="str">
        <f ca="1">IFERROR(__xludf.DUMMYFUNCTION("GOOGLETRANSLATE(B286,""zh"",""vi"")"),"mồ hôi")</f>
        <v>mồ hôi</v>
      </c>
      <c r="F286" s="9" t="s">
        <v>87</v>
      </c>
      <c r="G286" s="9"/>
    </row>
    <row r="287" spans="1:7">
      <c r="A287" s="23">
        <v>286</v>
      </c>
      <c r="B287" s="21" t="s">
        <v>1348</v>
      </c>
      <c r="C287" s="9"/>
      <c r="D287" s="21" t="s">
        <v>3142</v>
      </c>
      <c r="E287" s="9" t="str">
        <f ca="1">IFERROR(__xludf.DUMMYFUNCTION("GOOGLETRANSLATE(B287,""zh"",""vi"")"),"gọi ")</f>
        <v xml:space="preserve">gọi </v>
      </c>
      <c r="F287" s="9" t="s">
        <v>87</v>
      </c>
      <c r="G287" s="9"/>
    </row>
    <row r="288" spans="1:7">
      <c r="A288" s="23">
        <v>287</v>
      </c>
      <c r="B288" s="21" t="s">
        <v>3143</v>
      </c>
      <c r="C288" s="9"/>
      <c r="D288" s="21" t="s">
        <v>3144</v>
      </c>
      <c r="E288" s="9" t="str">
        <f ca="1">IFERROR(__xludf.DUMMYFUNCTION("GOOGLETRANSLATE(B288,""zh"",""vi"")"),"chuyến bay")</f>
        <v>chuyến bay</v>
      </c>
      <c r="F288" s="9" t="s">
        <v>94</v>
      </c>
      <c r="G288" s="9"/>
    </row>
    <row r="289" spans="1:7">
      <c r="A289" s="23">
        <v>288</v>
      </c>
      <c r="B289" s="21" t="s">
        <v>3145</v>
      </c>
      <c r="C289" s="9"/>
      <c r="D289" s="21" t="s">
        <v>3146</v>
      </c>
      <c r="E289" s="9" t="str">
        <f ca="1">IFERROR(__xludf.DUMMYFUNCTION("GOOGLETRANSLATE(B289,""zh"",""vi"")"),"kỳ nghỉ đông")</f>
        <v>kỳ nghỉ đông</v>
      </c>
      <c r="F289" s="9" t="s">
        <v>34</v>
      </c>
      <c r="G289" s="9"/>
    </row>
    <row r="290" spans="1:7">
      <c r="A290" s="23">
        <v>289</v>
      </c>
      <c r="B290" s="21" t="s">
        <v>3147</v>
      </c>
      <c r="C290" s="9"/>
      <c r="D290" s="21" t="s">
        <v>3148</v>
      </c>
      <c r="E290" s="9" t="str">
        <f ca="1">IFERROR(__xludf.DUMMYFUNCTION("GOOGLETRANSLATE(B290,""zh"",""vi"")"),"lạnh lẽo")</f>
        <v>lạnh lẽo</v>
      </c>
      <c r="F290" s="9" t="s">
        <v>107</v>
      </c>
      <c r="G290" s="9"/>
    </row>
    <row r="291" spans="1:7">
      <c r="A291" s="23">
        <v>290</v>
      </c>
      <c r="B291" s="21" t="s">
        <v>1349</v>
      </c>
      <c r="C291" s="9"/>
      <c r="D291" s="21" t="s">
        <v>3149</v>
      </c>
      <c r="E291" s="9" t="str">
        <f ca="1">IFERROR(__xludf.DUMMYFUNCTION("GOOGLETRANSLATE(B291,""zh"",""vi"")"),"lợi ích")</f>
        <v>lợi ích</v>
      </c>
      <c r="F291" s="9" t="s">
        <v>87</v>
      </c>
      <c r="G291" s="9"/>
    </row>
    <row r="292" spans="1:7">
      <c r="A292" s="23">
        <v>291</v>
      </c>
      <c r="B292" s="21" t="s">
        <v>3150</v>
      </c>
      <c r="C292" s="9"/>
      <c r="D292" s="21" t="s">
        <v>3151</v>
      </c>
      <c r="E292" s="9" t="str">
        <f ca="1">IFERROR(__xludf.DUMMYFUNCTION("GOOGLETRANSLATE(B292,""zh"",""vi"")"),"Tốt")</f>
        <v>Tốt</v>
      </c>
      <c r="F292" s="9" t="s">
        <v>107</v>
      </c>
      <c r="G292" s="9"/>
    </row>
    <row r="293" spans="1:7">
      <c r="A293" s="23">
        <v>292</v>
      </c>
      <c r="B293" s="21" t="s">
        <v>3152</v>
      </c>
      <c r="C293" s="9"/>
      <c r="D293" s="21" t="s">
        <v>3153</v>
      </c>
      <c r="E293" s="9" t="str">
        <f ca="1">IFERROR(__xludf.DUMMYFUNCTION("GOOGLETRANSLATE(B293,""zh"",""vi"")"),"buồn cười")</f>
        <v>buồn cười</v>
      </c>
      <c r="F293" s="9" t="s">
        <v>15</v>
      </c>
      <c r="G293" s="9"/>
    </row>
    <row r="294" spans="1:7">
      <c r="A294" s="23">
        <v>293</v>
      </c>
      <c r="B294" s="21" t="s">
        <v>3154</v>
      </c>
      <c r="C294" s="9"/>
      <c r="D294" s="21" t="s">
        <v>3155</v>
      </c>
      <c r="E294" s="9" t="str">
        <f ca="1">IFERROR(__xludf.DUMMYFUNCTION("GOOGLETRANSLATE(B294,""zh"",""vi"")"),"đạt tiêu chuẩn")</f>
        <v>đạt tiêu chuẩn</v>
      </c>
      <c r="F294" s="9" t="s">
        <v>87</v>
      </c>
      <c r="G294" s="9"/>
    </row>
    <row r="295" spans="1:7">
      <c r="A295" s="23">
        <v>294</v>
      </c>
      <c r="B295" s="21" t="s">
        <v>3156</v>
      </c>
      <c r="C295" s="9"/>
      <c r="D295" s="21" t="s">
        <v>3157</v>
      </c>
      <c r="E295" s="9" t="str">
        <f ca="1">IFERROR(__xludf.DUMMYFUNCTION("GOOGLETRANSLATE(B295,""zh"",""vi"")"),"Hộp")</f>
        <v>Hộp</v>
      </c>
      <c r="F295" s="9" t="s">
        <v>87</v>
      </c>
      <c r="G295" s="9"/>
    </row>
    <row r="296" spans="1:7">
      <c r="A296" s="23">
        <v>295</v>
      </c>
      <c r="B296" s="21" t="s">
        <v>3158</v>
      </c>
      <c r="C296" s="9"/>
      <c r="D296" s="21" t="s">
        <v>3159</v>
      </c>
      <c r="E296" s="9" t="str">
        <f ca="1">IFERROR(__xludf.DUMMYFUNCTION("GOOGLETRANSLATE(B296,""zh"",""vi"")"),"Phong bì đỏ")</f>
        <v>Phong bì đỏ</v>
      </c>
      <c r="F296" s="9" t="s">
        <v>107</v>
      </c>
      <c r="G296" s="9"/>
    </row>
    <row r="297" spans="1:7">
      <c r="A297" s="23">
        <v>296</v>
      </c>
      <c r="B297" s="21" t="s">
        <v>3160</v>
      </c>
      <c r="C297" s="9"/>
      <c r="D297" s="21" t="s">
        <v>234</v>
      </c>
      <c r="E297" s="9" t="str">
        <f ca="1">IFERROR(__xludf.DUMMYFUNCTION("GOOGLETRANSLATE(B297,""zh"",""vi"")"),"dày")</f>
        <v>dày</v>
      </c>
      <c r="F297" s="9" t="s">
        <v>87</v>
      </c>
      <c r="G297" s="9"/>
    </row>
    <row r="298" spans="1:7">
      <c r="A298" s="23">
        <v>297</v>
      </c>
      <c r="B298" s="21" t="s">
        <v>3161</v>
      </c>
      <c r="C298" s="9"/>
      <c r="D298" s="21" t="s">
        <v>3162</v>
      </c>
      <c r="E298" s="9" t="str">
        <f ca="1">IFERROR(__xludf.DUMMYFUNCTION("GOOGLETRANSLATE(B298,""zh"",""vi"")"),"hối tiếc")</f>
        <v>hối tiếc</v>
      </c>
      <c r="F298" s="9" t="s">
        <v>87</v>
      </c>
      <c r="G298" s="9"/>
    </row>
    <row r="299" spans="1:7">
      <c r="A299" s="23">
        <v>298</v>
      </c>
      <c r="B299" s="21" t="s">
        <v>1359</v>
      </c>
      <c r="C299" s="9"/>
      <c r="D299" s="21" t="s">
        <v>3163</v>
      </c>
      <c r="E299" s="9" t="str">
        <f ca="1">IFERROR(__xludf.DUMMYFUNCTION("GOOGLETRANSLATE(B299,""zh"",""vi"")"),"làm hại")</f>
        <v>làm hại</v>
      </c>
      <c r="F299" s="9" t="s">
        <v>34</v>
      </c>
      <c r="G299" s="9"/>
    </row>
    <row r="300" spans="1:7">
      <c r="A300" s="23">
        <v>299</v>
      </c>
      <c r="B300" s="21" t="s">
        <v>3164</v>
      </c>
      <c r="C300" s="9"/>
      <c r="D300" s="21" t="s">
        <v>3165</v>
      </c>
      <c r="E300" s="9" t="str">
        <f ca="1">IFERROR(__xludf.DUMMYFUNCTION("GOOGLETRANSLATE(B300,""zh"",""vi"")"),"Nghi ngờ")</f>
        <v>Nghi ngờ</v>
      </c>
      <c r="F300" s="9" t="s">
        <v>87</v>
      </c>
      <c r="G300" s="9"/>
    </row>
    <row r="301" spans="1:7">
      <c r="A301" s="23">
        <v>300</v>
      </c>
      <c r="B301" s="21" t="s">
        <v>3166</v>
      </c>
      <c r="C301" s="9"/>
      <c r="D301" s="21" t="s">
        <v>3167</v>
      </c>
      <c r="E301" s="9" t="str">
        <f ca="1">IFERROR(__xludf.DUMMYFUNCTION("GOOGLETRANSLATE(B301,""zh"",""vi"")"),"vở kịch sân khấu")</f>
        <v>vở kịch sân khấu</v>
      </c>
      <c r="F301" s="9" t="s">
        <v>48</v>
      </c>
      <c r="G301" s="9"/>
    </row>
    <row r="302" spans="1:7">
      <c r="A302" s="23">
        <v>301</v>
      </c>
      <c r="B302" s="21" t="s">
        <v>3168</v>
      </c>
      <c r="C302" s="11"/>
      <c r="D302" s="21" t="s">
        <v>3169</v>
      </c>
      <c r="E302" s="9" t="str">
        <f ca="1">IFERROR(__xludf.DUMMYFUNCTION("GOOGLETRANSLATE(B302,""zh"",""vi"")"),"Thân thiện với môi trường")</f>
        <v>Thân thiện với môi trường</v>
      </c>
      <c r="F302" s="9" t="s">
        <v>90</v>
      </c>
    </row>
    <row r="303" spans="1:7">
      <c r="A303" s="23">
        <v>302</v>
      </c>
      <c r="B303" s="21" t="s">
        <v>3170</v>
      </c>
      <c r="C303" s="11"/>
      <c r="D303" s="21" t="s">
        <v>3171</v>
      </c>
      <c r="E303" s="9" t="str">
        <f ca="1">IFERROR(__xludf.DUMMYFUNCTION("GOOGLETRANSLATE(B303,""zh"",""vi"")"),"Chuyển khoản")</f>
        <v>Chuyển khoản</v>
      </c>
      <c r="F303" s="9" t="s">
        <v>87</v>
      </c>
    </row>
    <row r="304" spans="1:7">
      <c r="A304" s="23">
        <v>303</v>
      </c>
      <c r="B304" s="21" t="s">
        <v>3172</v>
      </c>
      <c r="C304" s="11"/>
      <c r="D304" s="21" t="s">
        <v>3173</v>
      </c>
      <c r="E304" s="9" t="str">
        <f ca="1">IFERROR(__xludf.DUMMYFUNCTION("GOOGLETRANSLATE(B304,""zh"",""vi"")"),"hồi đáp")</f>
        <v>hồi đáp</v>
      </c>
      <c r="F304" s="9" t="s">
        <v>203</v>
      </c>
    </row>
    <row r="305" spans="1:6">
      <c r="A305" s="23">
        <v>304</v>
      </c>
      <c r="B305" s="21" t="s">
        <v>3174</v>
      </c>
      <c r="C305" s="11"/>
      <c r="D305" s="21" t="s">
        <v>3175</v>
      </c>
      <c r="E305" s="9" t="str">
        <f ca="1">IFERROR(__xludf.DUMMYFUNCTION("GOOGLETRANSLATE(B305,""zh"",""vi"")"),"hồi đáp")</f>
        <v>hồi đáp</v>
      </c>
      <c r="F305" s="9" t="s">
        <v>203</v>
      </c>
    </row>
    <row r="306" spans="1:6">
      <c r="A306" s="23">
        <v>305</v>
      </c>
      <c r="B306" s="21" t="s">
        <v>3176</v>
      </c>
      <c r="C306" s="11"/>
      <c r="D306" s="21" t="s">
        <v>3177</v>
      </c>
      <c r="E306" s="9" t="str">
        <f ca="1">IFERROR(__xludf.DUMMYFUNCTION("GOOGLETRANSLATE(B306,""zh"",""vi"")"),"nhớ")</f>
        <v>nhớ</v>
      </c>
      <c r="F306" s="9" t="s">
        <v>150</v>
      </c>
    </row>
    <row r="307" spans="1:6">
      <c r="A307" s="23">
        <v>306</v>
      </c>
      <c r="B307" s="21" t="s">
        <v>3178</v>
      </c>
      <c r="C307" s="11"/>
      <c r="D307" s="21" t="s">
        <v>3179</v>
      </c>
      <c r="E307" s="9" t="str">
        <f ca="1">IFERROR(__xludf.DUMMYFUNCTION("GOOGLETRANSLATE(B307,""zh"",""vi"")"),"thành viên")</f>
        <v>thành viên</v>
      </c>
      <c r="F307" s="9" t="s">
        <v>48</v>
      </c>
    </row>
    <row r="308" spans="1:6">
      <c r="A308" s="23">
        <v>307</v>
      </c>
      <c r="B308" s="21" t="s">
        <v>3180</v>
      </c>
      <c r="C308" s="11"/>
      <c r="D308" s="21" t="s">
        <v>3181</v>
      </c>
      <c r="E308" s="9" t="str">
        <f ca="1">IFERROR(__xludf.DUMMYFUNCTION("GOOGLETRANSLATE(B308,""zh"",""vi"")"),"internet")</f>
        <v>internet</v>
      </c>
      <c r="F308" s="9" t="s">
        <v>87</v>
      </c>
    </row>
    <row r="309" spans="1:6">
      <c r="A309" s="23">
        <v>308</v>
      </c>
      <c r="B309" s="21" t="s">
        <v>3182</v>
      </c>
      <c r="C309" s="11"/>
      <c r="D309" s="21" t="s">
        <v>3183</v>
      </c>
      <c r="E309" s="9" t="str">
        <f ca="1">IFERROR(__xludf.DUMMYFUNCTION("GOOGLETRANSLATE(B309,""zh"",""vi"")"),"sống")</f>
        <v>sống</v>
      </c>
      <c r="F309" s="9" t="s">
        <v>21</v>
      </c>
    </row>
    <row r="310" spans="1:6">
      <c r="A310" s="23">
        <v>309</v>
      </c>
      <c r="B310" s="21" t="s">
        <v>3184</v>
      </c>
      <c r="C310" s="11"/>
      <c r="D310" s="21" t="s">
        <v>1855</v>
      </c>
      <c r="E310" s="9" t="str">
        <f ca="1">IFERROR(__xludf.DUMMYFUNCTION("GOOGLETRANSLATE(B310,""zh"",""vi"")"),"hàng hóa")</f>
        <v>hàng hóa</v>
      </c>
      <c r="F310" s="9" t="s">
        <v>87</v>
      </c>
    </row>
    <row r="311" spans="1:6">
      <c r="A311" s="23">
        <v>310</v>
      </c>
      <c r="B311" s="21" t="s">
        <v>3185</v>
      </c>
      <c r="C311" s="11"/>
      <c r="D311" s="21" t="s">
        <v>3186</v>
      </c>
      <c r="E311" s="9" t="str">
        <f ca="1">IFERROR(__xludf.DUMMYFUNCTION("GOOGLETRANSLATE(B311,""zh"",""vi"")"),"ngọn lửa")</f>
        <v>ngọn lửa</v>
      </c>
      <c r="F311" s="9" t="s">
        <v>87</v>
      </c>
    </row>
    <row r="312" spans="1:6">
      <c r="A312" s="23">
        <v>311</v>
      </c>
      <c r="B312" s="21" t="s">
        <v>3187</v>
      </c>
      <c r="C312" s="11"/>
      <c r="D312" s="21" t="s">
        <v>3188</v>
      </c>
      <c r="E312" s="9" t="str">
        <f ca="1">IFERROR(__xludf.DUMMYFUNCTION("GOOGLETRANSLATE(B312,""zh"",""vi"")"),"lấy")</f>
        <v>lấy</v>
      </c>
      <c r="F312" s="9" t="s">
        <v>87</v>
      </c>
    </row>
    <row r="313" spans="1:6">
      <c r="A313" s="23">
        <v>312</v>
      </c>
      <c r="B313" s="21" t="s">
        <v>1363</v>
      </c>
      <c r="C313" s="11"/>
      <c r="D313" s="21" t="s">
        <v>3189</v>
      </c>
      <c r="E313" s="9" t="str">
        <f ca="1">IFERROR(__xludf.DUMMYFUNCTION("GOOGLETRANSLATE(B313,""zh"",""vi"")"),"Hoạt động")</f>
        <v>Hoạt động</v>
      </c>
      <c r="F313" s="9" t="s">
        <v>87</v>
      </c>
    </row>
    <row r="314" spans="1:6">
      <c r="A314" s="23">
        <v>313</v>
      </c>
      <c r="B314" s="21" t="s">
        <v>3190</v>
      </c>
      <c r="C314" s="11"/>
      <c r="D314" s="21" t="s">
        <v>3191</v>
      </c>
      <c r="E314" s="9" t="str">
        <f ca="1">IFERROR(__xludf.DUMMYFUNCTION("GOOGLETRANSLATE(B314,""zh"",""vi"")"),"Phần thưởng")</f>
        <v>Phần thưởng</v>
      </c>
      <c r="F314" s="9" t="s">
        <v>87</v>
      </c>
    </row>
    <row r="315" spans="1:6">
      <c r="A315" s="23">
        <v>314</v>
      </c>
      <c r="B315" s="21" t="s">
        <v>3192</v>
      </c>
      <c r="C315" s="11"/>
      <c r="D315" s="21" t="s">
        <v>3193</v>
      </c>
      <c r="E315" s="9" t="str">
        <f ca="1">IFERROR(__xludf.DUMMYFUNCTION("GOOGLETRANSLATE(B315,""zh"",""vi"")"),"sống động")</f>
        <v>sống động</v>
      </c>
      <c r="F315" s="9" t="s">
        <v>21</v>
      </c>
    </row>
    <row r="316" spans="1:6">
      <c r="A316" s="23">
        <v>315</v>
      </c>
      <c r="B316" s="21" t="s">
        <v>3194</v>
      </c>
      <c r="C316" s="11"/>
      <c r="D316" s="21" t="s">
        <v>3195</v>
      </c>
      <c r="E316" s="9" t="str">
        <f ca="1">IFERROR(__xludf.DUMMYFUNCTION("GOOGLETRANSLATE(B316,""zh"",""vi"")"),"Lấy")</f>
        <v>Lấy</v>
      </c>
      <c r="F316" s="9" t="s">
        <v>87</v>
      </c>
    </row>
    <row r="317" spans="1:6">
      <c r="A317" s="23">
        <v>316</v>
      </c>
      <c r="B317" s="21" t="s">
        <v>3196</v>
      </c>
      <c r="C317" s="11"/>
      <c r="D317" s="21" t="s">
        <v>3197</v>
      </c>
      <c r="E317" s="9" t="str">
        <f ca="1">IFERROR(__xludf.DUMMYFUNCTION("GOOGLETRANSLATE(B317,""zh"",""vi"")"),"đột nhiên")</f>
        <v>đột nhiên</v>
      </c>
      <c r="F317" s="9" t="s">
        <v>87</v>
      </c>
    </row>
    <row r="318" spans="1:6">
      <c r="A318" s="23">
        <v>317</v>
      </c>
      <c r="B318" s="21" t="s">
        <v>3198</v>
      </c>
      <c r="C318" s="11"/>
      <c r="D318" s="21" t="s">
        <v>3199</v>
      </c>
      <c r="E318" s="9" t="str">
        <f ca="1">IFERROR(__xludf.DUMMYFUNCTION("GOOGLETRANSLATE(B318,""zh"",""vi"")"),"Y tá")</f>
        <v>Y tá</v>
      </c>
      <c r="F318" s="9" t="s">
        <v>87</v>
      </c>
    </row>
    <row r="319" spans="1:6">
      <c r="A319" s="23">
        <v>318</v>
      </c>
      <c r="B319" s="21" t="s">
        <v>3200</v>
      </c>
      <c r="C319" s="11"/>
      <c r="D319" s="21" t="s">
        <v>3201</v>
      </c>
      <c r="E319" s="9" t="str">
        <f ca="1">IFERROR(__xludf.DUMMYFUNCTION("GOOGLETRANSLATE(B319,""zh"",""vi"")"),"nhau ")</f>
        <v xml:space="preserve">nhau </v>
      </c>
      <c r="F319" s="9" t="s">
        <v>87</v>
      </c>
    </row>
    <row r="320" spans="1:6">
      <c r="A320" s="23">
        <v>319</v>
      </c>
      <c r="B320" s="21" t="s">
        <v>3202</v>
      </c>
      <c r="C320" s="11"/>
      <c r="D320" s="21" t="s">
        <v>1865</v>
      </c>
      <c r="E320" s="9" t="str">
        <f ca="1">IFERROR(__xludf.DUMMYFUNCTION("GOOGLETRANSLATE(B320,""zh"",""vi"")"),"bây giờ thì")</f>
        <v>bây giờ thì</v>
      </c>
      <c r="F320" s="9" t="s">
        <v>34</v>
      </c>
    </row>
    <row r="321" spans="1:6">
      <c r="A321" s="23">
        <v>320</v>
      </c>
      <c r="B321" s="21" t="s">
        <v>3203</v>
      </c>
      <c r="C321" s="11"/>
      <c r="D321" s="21" t="s">
        <v>1865</v>
      </c>
      <c r="E321" s="9" t="str">
        <f ca="1">IFERROR(__xludf.DUMMYFUNCTION("GOOGLETRANSLATE(B321,""zh"",""vi"")"),"gửi")</f>
        <v>gửi</v>
      </c>
      <c r="F321" s="9" t="s">
        <v>87</v>
      </c>
    </row>
    <row r="322" spans="1:6">
      <c r="A322" s="23">
        <v>321</v>
      </c>
      <c r="B322" s="21" t="s">
        <v>1370</v>
      </c>
      <c r="C322" s="11"/>
      <c r="D322" s="21" t="s">
        <v>3204</v>
      </c>
      <c r="E322" s="9" t="str">
        <f ca="1">IFERROR(__xludf.DUMMYFUNCTION("GOOGLETRANSLATE(B322,""zh"",""vi"")"),"Giả mạo")</f>
        <v>Giả mạo</v>
      </c>
      <c r="F322" s="9" t="s">
        <v>87</v>
      </c>
    </row>
    <row r="323" spans="1:6">
      <c r="A323" s="23">
        <v>322</v>
      </c>
      <c r="B323" s="21" t="s">
        <v>3205</v>
      </c>
      <c r="C323" s="11"/>
      <c r="D323" s="21" t="s">
        <v>3206</v>
      </c>
      <c r="E323" s="9" t="str">
        <f ca="1">IFERROR(__xludf.DUMMYFUNCTION("GOOGLETRANSLATE(B323,""zh"",""vi"")"),"làm thêm giờ")</f>
        <v>làm thêm giờ</v>
      </c>
      <c r="F323" s="9" t="s">
        <v>34</v>
      </c>
    </row>
    <row r="324" spans="1:6">
      <c r="A324" s="23">
        <v>323</v>
      </c>
      <c r="B324" s="21" t="s">
        <v>3207</v>
      </c>
      <c r="C324" s="11"/>
      <c r="D324" s="21" t="s">
        <v>3208</v>
      </c>
      <c r="E324" s="9" t="str">
        <f ca="1">IFERROR(__xludf.DUMMYFUNCTION("GOOGLETRANSLATE(B324,""zh"",""vi"")"),"giá ")</f>
        <v xml:space="preserve">giá </v>
      </c>
      <c r="F324" s="9" t="s">
        <v>87</v>
      </c>
    </row>
    <row r="325" spans="1:6">
      <c r="A325" s="23">
        <v>324</v>
      </c>
      <c r="B325" s="21" t="s">
        <v>3209</v>
      </c>
      <c r="C325" s="11"/>
      <c r="D325" s="21" t="s">
        <v>3210</v>
      </c>
      <c r="E325" s="9" t="str">
        <f ca="1">IFERROR(__xludf.DUMMYFUNCTION("GOOGLETRANSLATE(B325,""zh"",""vi"")"),"nội thất")</f>
        <v>nội thất</v>
      </c>
      <c r="F325" s="9" t="s">
        <v>87</v>
      </c>
    </row>
    <row r="326" spans="1:6">
      <c r="A326" s="23">
        <v>325</v>
      </c>
      <c r="B326" s="21" t="s">
        <v>3211</v>
      </c>
      <c r="C326" s="11"/>
      <c r="D326" s="21" t="s">
        <v>3212</v>
      </c>
      <c r="E326" s="9" t="str">
        <f ca="1">IFERROR(__xludf.DUMMYFUNCTION("GOOGLETRANSLATE(B326,""zh"",""vi"")"),"tăng tốc")</f>
        <v>tăng tốc</v>
      </c>
      <c r="F326" s="9" t="s">
        <v>87</v>
      </c>
    </row>
    <row r="327" spans="1:6">
      <c r="A327" s="23">
        <v>326</v>
      </c>
      <c r="B327" s="21" t="s">
        <v>3213</v>
      </c>
      <c r="C327" s="11"/>
      <c r="D327" s="21" t="s">
        <v>3214</v>
      </c>
      <c r="E327" s="9" t="str">
        <f ca="1">IFERROR(__xludf.DUMMYFUNCTION("GOOGLETRANSLATE(B327,""zh"",""vi"")"),"giảm bớt")</f>
        <v>giảm bớt</v>
      </c>
      <c r="F327" s="9" t="s">
        <v>87</v>
      </c>
    </row>
    <row r="328" spans="1:6">
      <c r="A328" s="23">
        <v>327</v>
      </c>
      <c r="B328" s="21" t="s">
        <v>3215</v>
      </c>
      <c r="C328" s="11"/>
      <c r="D328" s="21" t="s">
        <v>3216</v>
      </c>
      <c r="E328" s="9" t="str">
        <f ca="1">IFERROR(__xludf.DUMMYFUNCTION("GOOGLETRANSLATE(B328,""zh"",""vi"")"),"làm rơi")</f>
        <v>làm rơi</v>
      </c>
      <c r="F328" s="9" t="s">
        <v>87</v>
      </c>
    </row>
    <row r="329" spans="1:6">
      <c r="A329" s="23">
        <v>328</v>
      </c>
      <c r="B329" s="21" t="s">
        <v>3217</v>
      </c>
      <c r="C329" s="11"/>
      <c r="D329" s="21" t="s">
        <v>1881</v>
      </c>
      <c r="E329" s="9" t="str">
        <f ca="1">IFERROR(__xludf.DUMMYFUNCTION("GOOGLETRANSLATE(B329,""zh"",""vi"")"),"phần thưởng")</f>
        <v>phần thưởng</v>
      </c>
      <c r="F329" s="9" t="s">
        <v>87</v>
      </c>
    </row>
    <row r="330" spans="1:6">
      <c r="A330" s="23">
        <v>329</v>
      </c>
      <c r="B330" s="21" t="s">
        <v>3218</v>
      </c>
      <c r="C330" s="11"/>
      <c r="D330" s="21" t="s">
        <v>3219</v>
      </c>
      <c r="E330" s="9" t="str">
        <f ca="1">IFERROR(__xludf.DUMMYFUNCTION("GOOGLETRANSLATE(B330,""zh"",""vi"")"),"Dòng sông")</f>
        <v>Dòng sông</v>
      </c>
      <c r="F330" s="9" t="s">
        <v>7</v>
      </c>
    </row>
    <row r="331" spans="1:6">
      <c r="A331" s="23">
        <v>330</v>
      </c>
      <c r="B331" s="21" t="s">
        <v>3220</v>
      </c>
      <c r="C331" s="11"/>
      <c r="D331" s="21" t="s">
        <v>3219</v>
      </c>
      <c r="E331" s="9" t="str">
        <f ca="1">IFERROR(__xludf.DUMMYFUNCTION("GOOGLETRANSLATE(B331,""zh"",""vi"")"),"Sẽ")</f>
        <v>Sẽ</v>
      </c>
      <c r="F331" s="9" t="s">
        <v>87</v>
      </c>
    </row>
    <row r="332" spans="1:6">
      <c r="A332" s="23">
        <v>331</v>
      </c>
      <c r="B332" s="21" t="s">
        <v>3221</v>
      </c>
      <c r="C332" s="11"/>
      <c r="D332" s="21" t="s">
        <v>3222</v>
      </c>
      <c r="E332" s="9" t="str">
        <f ca="1">IFERROR(__xludf.DUMMYFUNCTION("GOOGLETRANSLATE(B332,""zh"",""vi"")"),"giảm bớt")</f>
        <v>giảm bớt</v>
      </c>
      <c r="F332" s="9" t="s">
        <v>87</v>
      </c>
    </row>
    <row r="333" spans="1:6">
      <c r="A333" s="23">
        <v>332</v>
      </c>
      <c r="B333" s="21" t="s">
        <v>3223</v>
      </c>
      <c r="C333" s="11"/>
      <c r="D333" s="21" t="s">
        <v>3224</v>
      </c>
      <c r="E333" s="9" t="str">
        <f ca="1">IFERROR(__xludf.DUMMYFUNCTION("GOOGLETRANSLATE(B333,""zh"",""vi"")"),"Giảm giá")</f>
        <v>Giảm giá</v>
      </c>
      <c r="F333" s="9" t="s">
        <v>87</v>
      </c>
    </row>
    <row r="334" spans="1:6">
      <c r="A334" s="23">
        <v>333</v>
      </c>
      <c r="B334" s="21" t="s">
        <v>3225</v>
      </c>
      <c r="C334" s="11"/>
      <c r="D334" s="21" t="s">
        <v>3226</v>
      </c>
      <c r="E334" s="9" t="str">
        <f ca="1">IFERROR(__xludf.DUMMYFUNCTION("GOOGLETRANSLATE(B334,""zh"",""vi"")"),"thưởng")</f>
        <v>thưởng</v>
      </c>
      <c r="F334" s="9" t="s">
        <v>87</v>
      </c>
    </row>
    <row r="335" spans="1:6">
      <c r="A335" s="23">
        <v>334</v>
      </c>
      <c r="B335" s="21" t="s">
        <v>3227</v>
      </c>
      <c r="C335" s="11"/>
      <c r="D335" s="21" t="s">
        <v>3228</v>
      </c>
      <c r="E335" s="9" t="str">
        <f ca="1">IFERROR(__xludf.DUMMYFUNCTION("GOOGLETRANSLATE(B335,""zh"",""vi"")"),"tương lai")</f>
        <v>tương lai</v>
      </c>
      <c r="F335" s="9" t="s">
        <v>87</v>
      </c>
    </row>
    <row r="336" spans="1:6">
      <c r="A336" s="23">
        <v>335</v>
      </c>
      <c r="B336" s="21" t="s">
        <v>3229</v>
      </c>
      <c r="C336" s="11"/>
      <c r="D336" s="21" t="s">
        <v>3230</v>
      </c>
      <c r="E336" s="9" t="str">
        <f ca="1">IFERROR(__xludf.DUMMYFUNCTION("GOOGLETRANSLATE(B336,""zh"",""vi"")"),"hạ cánh")</f>
        <v>hạ cánh</v>
      </c>
      <c r="F336" s="9" t="s">
        <v>34</v>
      </c>
    </row>
    <row r="337" spans="1:6">
      <c r="A337" s="23">
        <v>336</v>
      </c>
      <c r="B337" s="21" t="s">
        <v>3231</v>
      </c>
      <c r="C337" s="11"/>
      <c r="D337" s="21" t="s">
        <v>3232</v>
      </c>
      <c r="E337" s="9" t="str">
        <f ca="1">IFERROR(__xludf.DUMMYFUNCTION("GOOGLETRANSLATE(B337,""zh"",""vi"")"),"Làm mát")</f>
        <v>Làm mát</v>
      </c>
      <c r="F337" s="9" t="s">
        <v>87</v>
      </c>
    </row>
    <row r="338" spans="1:6">
      <c r="A338" s="23">
        <v>337</v>
      </c>
      <c r="B338" s="21" t="s">
        <v>3233</v>
      </c>
      <c r="C338" s="11"/>
      <c r="D338" s="21" t="s">
        <v>3234</v>
      </c>
      <c r="E338" s="9" t="str">
        <f ca="1">IFERROR(__xludf.DUMMYFUNCTION("GOOGLETRANSLATE(B338,""zh"",""vi"")"),"học bổng")</f>
        <v>học bổng</v>
      </c>
      <c r="F338" s="9" t="s">
        <v>7</v>
      </c>
    </row>
    <row r="339" spans="1:6">
      <c r="A339" s="23">
        <v>338</v>
      </c>
      <c r="B339" s="21" t="s">
        <v>3235</v>
      </c>
      <c r="C339" s="11"/>
      <c r="D339" s="21" t="s">
        <v>3236</v>
      </c>
      <c r="E339" s="9" t="str">
        <f ca="1">IFERROR(__xludf.DUMMYFUNCTION("GOOGLETRANSLATE(B339,""zh"",""vi"")"),"Sắp sửa")</f>
        <v>Sắp sửa</v>
      </c>
      <c r="F339" s="9" t="s">
        <v>87</v>
      </c>
    </row>
    <row r="340" spans="1:6">
      <c r="A340" s="23">
        <v>339</v>
      </c>
      <c r="B340" s="21" t="s">
        <v>3237</v>
      </c>
      <c r="C340" s="11"/>
      <c r="D340" s="21" t="s">
        <v>3238</v>
      </c>
      <c r="E340" s="9" t="str">
        <f ca="1">IFERROR(__xludf.DUMMYFUNCTION("GOOGLETRANSLATE(B340,""zh"",""vi"")"),"Giảm bớt")</f>
        <v>Giảm bớt</v>
      </c>
      <c r="F340" s="9" t="s">
        <v>87</v>
      </c>
    </row>
    <row r="341" spans="1:6">
      <c r="A341" s="23">
        <v>340</v>
      </c>
      <c r="B341" s="21" t="s">
        <v>3239</v>
      </c>
      <c r="C341" s="11"/>
      <c r="D341" s="21" t="s">
        <v>3240</v>
      </c>
      <c r="E341" s="9" t="str">
        <f ca="1">IFERROR(__xludf.DUMMYFUNCTION("GOOGLETRANSLATE(B341,""zh"",""vi"")"),"giảm bớt")</f>
        <v>giảm bớt</v>
      </c>
      <c r="F341" s="9" t="s">
        <v>87</v>
      </c>
    </row>
    <row r="342" spans="1:6">
      <c r="A342" s="23">
        <v>341</v>
      </c>
      <c r="B342" s="21" t="s">
        <v>3241</v>
      </c>
      <c r="C342" s="11"/>
      <c r="D342" s="21" t="s">
        <v>3242</v>
      </c>
      <c r="E342" s="9" t="str">
        <f ca="1">IFERROR(__xludf.DUMMYFUNCTION("GOOGLETRANSLATE(B342,""zh"",""vi"")"),"sự thích hợp")</f>
        <v>sự thích hợp</v>
      </c>
      <c r="F342" s="9" t="s">
        <v>15</v>
      </c>
    </row>
    <row r="343" spans="1:6">
      <c r="A343" s="23">
        <v>342</v>
      </c>
      <c r="B343" s="21" t="s">
        <v>3243</v>
      </c>
      <c r="C343" s="11"/>
      <c r="D343" s="21" t="s">
        <v>3244</v>
      </c>
      <c r="E343" s="9" t="str">
        <f ca="1">IFERROR(__xludf.DUMMYFUNCTION("GOOGLETRANSLATE(B343,""zh"",""vi"")"),"Phòng tập thể dục")</f>
        <v>Phòng tập thể dục</v>
      </c>
      <c r="F343" s="9" t="s">
        <v>90</v>
      </c>
    </row>
    <row r="344" spans="1:6">
      <c r="A344" s="23">
        <v>343</v>
      </c>
      <c r="B344" s="21" t="s">
        <v>3245</v>
      </c>
      <c r="C344" s="11"/>
      <c r="D344" s="21" t="s">
        <v>3246</v>
      </c>
      <c r="E344" s="9" t="str">
        <f ca="1">IFERROR(__xludf.DUMMYFUNCTION("GOOGLETRANSLATE(B344,""zh"",""vi"")"),"gợi ý")</f>
        <v>gợi ý</v>
      </c>
      <c r="F344" s="9" t="s">
        <v>87</v>
      </c>
    </row>
    <row r="345" spans="1:6">
      <c r="A345" s="23">
        <v>344</v>
      </c>
      <c r="B345" s="21" t="s">
        <v>1375</v>
      </c>
      <c r="C345" s="11"/>
      <c r="D345" s="21" t="s">
        <v>914</v>
      </c>
      <c r="E345" s="9" t="str">
        <f ca="1">IFERROR(__xludf.DUMMYFUNCTION("GOOGLETRANSLATE(B345,""zh"",""vi"")"),"chi trả")</f>
        <v>chi trả</v>
      </c>
      <c r="F345" s="9" t="s">
        <v>87</v>
      </c>
    </row>
    <row r="346" spans="1:6">
      <c r="A346" s="23">
        <v>345</v>
      </c>
      <c r="B346" s="21" t="s">
        <v>3247</v>
      </c>
      <c r="C346" s="11"/>
      <c r="D346" s="21" t="s">
        <v>3248</v>
      </c>
      <c r="E346" s="9" t="str">
        <f ca="1">IFERROR(__xludf.DUMMYFUNCTION("GOOGLETRANSLATE(B346,""zh"",""vi"")"),"kiêu hãnh")</f>
        <v>kiêu hãnh</v>
      </c>
      <c r="F346" s="9" t="s">
        <v>15</v>
      </c>
    </row>
    <row r="347" spans="1:6">
      <c r="A347" s="23">
        <v>346</v>
      </c>
      <c r="B347" s="21" t="s">
        <v>3249</v>
      </c>
      <c r="C347" s="11"/>
      <c r="D347" s="21" t="s">
        <v>3250</v>
      </c>
      <c r="E347" s="9" t="str">
        <f ca="1">IFERROR(__xludf.DUMMYFUNCTION("GOOGLETRANSLATE(B347,""zh"",""vi"")"),"cảnh sát giao thông")</f>
        <v>cảnh sát giao thông</v>
      </c>
      <c r="F347" s="9" t="s">
        <v>90</v>
      </c>
    </row>
    <row r="348" spans="1:6">
      <c r="A348" s="23">
        <v>347</v>
      </c>
      <c r="B348" s="21" t="s">
        <v>3251</v>
      </c>
      <c r="C348" s="11"/>
      <c r="D348" s="21" t="s">
        <v>3252</v>
      </c>
      <c r="E348" s="9" t="str">
        <f ca="1">IFERROR(__xludf.DUMMYFUNCTION("GOOGLETRANSLATE(B348,""zh"",""vi"")"),"huấn luyện viên")</f>
        <v>huấn luyện viên</v>
      </c>
      <c r="F348" s="9" t="s">
        <v>87</v>
      </c>
    </row>
    <row r="349" spans="1:6">
      <c r="A349" s="23">
        <v>348</v>
      </c>
      <c r="B349" s="21" t="s">
        <v>3253</v>
      </c>
      <c r="C349" s="11"/>
      <c r="D349" s="21" t="s">
        <v>3254</v>
      </c>
      <c r="E349" s="9" t="str">
        <f ca="1">IFERROR(__xludf.DUMMYFUNCTION("GOOGLETRANSLATE(B349,""zh"",""vi"")"),"giao tiếp")</f>
        <v>giao tiếp</v>
      </c>
      <c r="F349" s="9" t="s">
        <v>87</v>
      </c>
    </row>
    <row r="350" spans="1:6">
      <c r="A350" s="23">
        <v>349</v>
      </c>
      <c r="B350" s="21" t="s">
        <v>3255</v>
      </c>
      <c r="C350" s="11"/>
      <c r="D350" s="21" t="s">
        <v>3256</v>
      </c>
      <c r="E350" s="9" t="str">
        <f ca="1">IFERROR(__xludf.DUMMYFUNCTION("GOOGLETRANSLATE(B350,""zh"",""vi"")"),"vùng ngoại ô")</f>
        <v>vùng ngoại ô</v>
      </c>
      <c r="F350" s="9" t="s">
        <v>15</v>
      </c>
    </row>
    <row r="351" spans="1:6" ht="15.75" customHeight="1">
      <c r="A351" s="17">
        <v>350</v>
      </c>
      <c r="B351" s="17" t="s">
        <v>3257</v>
      </c>
      <c r="C351" s="33"/>
      <c r="D351" s="34" t="s">
        <v>3258</v>
      </c>
      <c r="E351" s="9" t="str">
        <f ca="1">IFERROR(__xludf.DUMMYFUNCTION("GOOGLETRANSLATE(B351,""zh"",""vi"")"),"cơ chế")</f>
        <v>cơ chế</v>
      </c>
      <c r="F351" s="9" t="s">
        <v>107</v>
      </c>
    </row>
    <row r="352" spans="1:6">
      <c r="A352" s="11">
        <v>351</v>
      </c>
      <c r="B352" s="11" t="s">
        <v>3259</v>
      </c>
      <c r="C352" s="11"/>
      <c r="D352" s="11" t="s">
        <v>3260</v>
      </c>
      <c r="E352" s="9" t="str">
        <f ca="1">IFERROR(__xludf.DUMMYFUNCTION("GOOGLETRANSLATE(B352,""zh"",""vi"")"),"cơ hội")</f>
        <v>cơ hội</v>
      </c>
      <c r="F352" s="9" t="s">
        <v>87</v>
      </c>
    </row>
    <row r="353" spans="1:11">
      <c r="A353" s="11">
        <v>352</v>
      </c>
      <c r="B353" s="11" t="s">
        <v>3261</v>
      </c>
      <c r="C353" s="11"/>
      <c r="D353" s="11" t="s">
        <v>3262</v>
      </c>
      <c r="E353" s="9" t="str">
        <f ca="1">IFERROR(__xludf.DUMMYFUNCTION("GOOGLETRANSLATE(B353,""zh"",""vi"")"),"sự tích lũy")</f>
        <v>sự tích lũy</v>
      </c>
      <c r="F353" s="9" t="s">
        <v>87</v>
      </c>
    </row>
    <row r="354" spans="1:11">
      <c r="A354" s="11">
        <v>353</v>
      </c>
      <c r="B354" s="11" t="s">
        <v>3263</v>
      </c>
      <c r="C354" s="11"/>
      <c r="D354" s="11" t="s">
        <v>3264</v>
      </c>
      <c r="E354" s="9" t="str">
        <f ca="1">IFERROR(__xludf.DUMMYFUNCTION("GOOGLETRANSLATE(B354,""zh"",""vi"")"),"Hào hứng")</f>
        <v>Hào hứng</v>
      </c>
      <c r="F354" s="9" t="s">
        <v>15</v>
      </c>
      <c r="I354" s="33"/>
      <c r="J354" s="33"/>
      <c r="K354" s="33"/>
    </row>
    <row r="355" spans="1:11">
      <c r="A355" s="11">
        <v>354</v>
      </c>
      <c r="B355" s="11" t="s">
        <v>3265</v>
      </c>
      <c r="C355" s="11"/>
      <c r="D355" s="11" t="s">
        <v>3266</v>
      </c>
      <c r="E355" s="9" t="str">
        <f ca="1">IFERROR(__xludf.DUMMYFUNCTION("GOOGLETRANSLATE(B355,""zh"",""vi"")"),"mạnh mẽ")</f>
        <v>mạnh mẽ</v>
      </c>
      <c r="F355" s="9" t="s">
        <v>90</v>
      </c>
    </row>
    <row r="356" spans="1:11">
      <c r="A356" s="11">
        <v>355</v>
      </c>
      <c r="B356" s="11" t="s">
        <v>3267</v>
      </c>
      <c r="C356" s="11"/>
      <c r="D356" s="11" t="s">
        <v>3268</v>
      </c>
      <c r="E356" s="9" t="str">
        <f ca="1">IFERROR(__xludf.DUMMYFUNCTION("GOOGLETRANSLATE(B356,""zh"",""vi"")"),"Vượt qua")</f>
        <v>Vượt qua</v>
      </c>
      <c r="F356" s="9" t="s">
        <v>87</v>
      </c>
    </row>
    <row r="357" spans="1:11">
      <c r="A357" s="11">
        <v>356</v>
      </c>
      <c r="B357" s="11" t="s">
        <v>1859</v>
      </c>
      <c r="C357" s="11"/>
      <c r="D357" s="11" t="s">
        <v>1860</v>
      </c>
      <c r="E357" s="9" t="str">
        <f ca="1">IFERROR(__xludf.DUMMYFUNCTION("GOOGLETRANSLATE(B357,""zh"",""vi"")"),"cột")</f>
        <v>cột</v>
      </c>
      <c r="F357" s="9" t="s">
        <v>87</v>
      </c>
    </row>
    <row r="358" spans="1:11">
      <c r="A358" s="11">
        <v>357</v>
      </c>
      <c r="B358" s="11" t="s">
        <v>3269</v>
      </c>
      <c r="C358" s="11"/>
      <c r="D358" s="11" t="s">
        <v>3270</v>
      </c>
      <c r="E358" s="9" t="str">
        <f ca="1">IFERROR(__xludf.DUMMYFUNCTION("GOOGLETRANSLATE(B358,""zh"",""vi"")"),"vô cùng")</f>
        <v>vô cùng</v>
      </c>
      <c r="F358" s="9" t="s">
        <v>15</v>
      </c>
    </row>
    <row r="359" spans="1:11">
      <c r="A359" s="11">
        <v>358</v>
      </c>
      <c r="B359" s="11" t="s">
        <v>3271</v>
      </c>
      <c r="C359" s="11"/>
      <c r="D359" s="11" t="s">
        <v>3272</v>
      </c>
      <c r="E359" s="9" t="str">
        <f ca="1">IFERROR(__xludf.DUMMYFUNCTION("GOOGLETRANSLATE(B359,""zh"",""vi"")"),"Sớm")</f>
        <v>Sớm</v>
      </c>
      <c r="F359" s="9" t="s">
        <v>90</v>
      </c>
    </row>
    <row r="360" spans="1:11">
      <c r="A360" s="11">
        <v>359</v>
      </c>
      <c r="B360" s="11" t="s">
        <v>3273</v>
      </c>
      <c r="C360" s="11"/>
      <c r="D360" s="11" t="s">
        <v>3274</v>
      </c>
      <c r="E360" s="9" t="str">
        <f ca="1">IFERROR(__xludf.DUMMYFUNCTION("GOOGLETRANSLATE(B360,""zh"",""vi"")"),"vội vàng")</f>
        <v>vội vàng</v>
      </c>
      <c r="F360" s="9" t="s">
        <v>87</v>
      </c>
    </row>
    <row r="361" spans="1:11">
      <c r="A361" s="11">
        <v>360</v>
      </c>
      <c r="B361" s="11" t="s">
        <v>3275</v>
      </c>
      <c r="C361" s="11"/>
      <c r="D361" s="11" t="s">
        <v>3276</v>
      </c>
      <c r="E361" s="9" t="str">
        <f ca="1">IFERROR(__xludf.DUMMYFUNCTION("GOOGLETRANSLATE(B361,""zh"",""vi"")"),"tập trung")</f>
        <v>tập trung</v>
      </c>
      <c r="F361" s="9" t="s">
        <v>87</v>
      </c>
    </row>
    <row r="362" spans="1:11">
      <c r="A362" s="11">
        <v>361</v>
      </c>
      <c r="B362" s="11" t="s">
        <v>3277</v>
      </c>
      <c r="C362" s="11"/>
      <c r="D362" s="11" t="s">
        <v>3278</v>
      </c>
      <c r="E362" s="9" t="str">
        <f ca="1">IFERROR(__xludf.DUMMYFUNCTION("GOOGLETRANSLATE(B362,""zh"",""vi"")"),"Hồ sơ")</f>
        <v>Hồ sơ</v>
      </c>
      <c r="F362" s="9" t="s">
        <v>15</v>
      </c>
    </row>
    <row r="363" spans="1:11">
      <c r="A363" s="11">
        <v>362</v>
      </c>
      <c r="B363" s="11" t="s">
        <v>3279</v>
      </c>
      <c r="C363" s="11"/>
      <c r="D363" s="11" t="s">
        <v>3280</v>
      </c>
      <c r="E363" s="9" t="str">
        <f ca="1">IFERROR(__xludf.DUMMYFUNCTION("GOOGLETRANSLATE(B363,""zh"",""vi"")"),"kỷ luật")</f>
        <v>kỷ luật</v>
      </c>
      <c r="F363" s="9" t="s">
        <v>90</v>
      </c>
    </row>
    <row r="364" spans="1:11">
      <c r="A364" s="11">
        <v>363</v>
      </c>
      <c r="B364" s="11" t="s">
        <v>3281</v>
      </c>
      <c r="C364" s="11"/>
      <c r="D364" s="11" t="s">
        <v>3282</v>
      </c>
      <c r="E364" s="9" t="str">
        <f ca="1">IFERROR(__xludf.DUMMYFUNCTION("GOOGLETRANSLATE(B364,""zh"",""vi"")"),"Kỹ năng")</f>
        <v>Kỹ năng</v>
      </c>
      <c r="F364" s="9" t="s">
        <v>87</v>
      </c>
    </row>
    <row r="365" spans="1:11">
      <c r="A365" s="11">
        <v>364</v>
      </c>
      <c r="B365" s="11" t="s">
        <v>3283</v>
      </c>
      <c r="C365" s="11"/>
      <c r="D365" s="11" t="s">
        <v>3284</v>
      </c>
      <c r="E365" s="9" t="str">
        <f ca="1">IFERROR(__xludf.DUMMYFUNCTION("GOOGLETRANSLATE(B365,""zh"",""vi"")"),"Cà vạt")</f>
        <v>Cà vạt</v>
      </c>
      <c r="F365" s="9" t="s">
        <v>87</v>
      </c>
    </row>
    <row r="366" spans="1:11">
      <c r="A366" s="11">
        <v>365</v>
      </c>
      <c r="B366" s="11" t="s">
        <v>3285</v>
      </c>
      <c r="C366" s="11"/>
      <c r="D366" s="11" t="s">
        <v>1865</v>
      </c>
      <c r="E366" s="9" t="str">
        <f ca="1">IFERROR(__xludf.DUMMYFUNCTION("GOOGLETRANSLATE(B366,""zh"",""vi"")"),"mùa")</f>
        <v>mùa</v>
      </c>
      <c r="F366" s="9" t="s">
        <v>15</v>
      </c>
    </row>
    <row r="367" spans="1:11">
      <c r="A367" s="11">
        <v>366</v>
      </c>
      <c r="B367" s="11" t="s">
        <v>3286</v>
      </c>
      <c r="C367" s="11"/>
      <c r="D367" s="11" t="s">
        <v>3287</v>
      </c>
      <c r="E367" s="9" t="str">
        <f ca="1">IFERROR(__xludf.DUMMYFUNCTION("GOOGLETRANSLATE(B367,""zh"",""vi"")"),"Một phần tư")</f>
        <v>Một phần tư</v>
      </c>
      <c r="F367" s="9" t="s">
        <v>90</v>
      </c>
    </row>
    <row r="368" spans="1:11">
      <c r="A368" s="11">
        <v>367</v>
      </c>
      <c r="B368" s="11" t="s">
        <v>1927</v>
      </c>
      <c r="C368" s="11"/>
      <c r="D368" s="11" t="s">
        <v>1928</v>
      </c>
      <c r="E368" s="9" t="str">
        <f ca="1">IFERROR(__xludf.DUMMYFUNCTION("GOOGLETRANSLATE(B368,""zh"",""vi"")"),"mùa")</f>
        <v>mùa</v>
      </c>
      <c r="F368" s="9" t="s">
        <v>87</v>
      </c>
    </row>
    <row r="369" spans="1:8">
      <c r="A369" s="11">
        <v>368</v>
      </c>
      <c r="B369" s="11" t="s">
        <v>3202</v>
      </c>
      <c r="C369" s="11"/>
      <c r="D369" s="11" t="s">
        <v>1865</v>
      </c>
      <c r="E369" s="9" t="str">
        <f ca="1">IFERROR(__xludf.DUMMYFUNCTION("GOOGLETRANSLATE(B369,""zh"",""vi"")"),"bây giờ thì")</f>
        <v>bây giờ thì</v>
      </c>
      <c r="F369" s="9" t="s">
        <v>87</v>
      </c>
    </row>
    <row r="370" spans="1:8">
      <c r="A370" s="11">
        <v>369</v>
      </c>
      <c r="B370" s="11" t="s">
        <v>3288</v>
      </c>
      <c r="C370" s="11"/>
      <c r="D370" s="11" t="s">
        <v>3289</v>
      </c>
      <c r="E370" s="9" t="str">
        <f ca="1">IFERROR(__xludf.DUMMYFUNCTION("GOOGLETRANSLATE(B370,""zh"",""vi"")"),"bây giờ thì")</f>
        <v>bây giờ thì</v>
      </c>
      <c r="F370" s="9" t="s">
        <v>15</v>
      </c>
    </row>
    <row r="371" spans="1:8">
      <c r="A371" s="23">
        <v>370</v>
      </c>
      <c r="B371" s="11" t="s">
        <v>3203</v>
      </c>
      <c r="C371" s="11"/>
      <c r="D371" s="11" t="s">
        <v>1865</v>
      </c>
      <c r="E371" s="9" t="str">
        <f ca="1">IFERROR(__xludf.DUMMYFUNCTION("GOOGLETRANSLATE(B371,""zh"",""vi"")"),"gửi")</f>
        <v>gửi</v>
      </c>
      <c r="F371" s="9" t="s">
        <v>90</v>
      </c>
      <c r="G371" s="33"/>
      <c r="H371" s="33"/>
    </row>
    <row r="372" spans="1:8">
      <c r="A372" s="23">
        <v>371</v>
      </c>
      <c r="B372" s="11" t="s">
        <v>3205</v>
      </c>
      <c r="C372" s="11"/>
      <c r="D372" s="11" t="s">
        <v>3206</v>
      </c>
      <c r="E372" s="9" t="str">
        <f ca="1">IFERROR(__xludf.DUMMYFUNCTION("GOOGLETRANSLATE(B372,""zh"",""vi"")"),"làm thêm giờ")</f>
        <v>làm thêm giờ</v>
      </c>
      <c r="F372" s="9" t="s">
        <v>87</v>
      </c>
    </row>
    <row r="373" spans="1:8">
      <c r="A373" s="23">
        <v>372</v>
      </c>
      <c r="B373" s="11" t="s">
        <v>3290</v>
      </c>
      <c r="C373" s="11"/>
      <c r="D373" s="11" t="s">
        <v>3291</v>
      </c>
      <c r="E373" s="9" t="str">
        <f ca="1">IFERROR(__xludf.DUMMYFUNCTION("GOOGLETRANSLATE(B373,""zh"",""vi"")"),"tham gia")</f>
        <v>tham gia</v>
      </c>
      <c r="F373" s="9" t="s">
        <v>87</v>
      </c>
    </row>
    <row r="374" spans="1:8">
      <c r="A374" s="23">
        <v>373</v>
      </c>
      <c r="B374" s="11" t="s">
        <v>3292</v>
      </c>
      <c r="C374" s="11"/>
      <c r="D374" s="11" t="s">
        <v>3293</v>
      </c>
      <c r="E374" s="9" t="str">
        <f ca="1">IFERROR(__xludf.DUMMYFUNCTION("GOOGLETRANSLATE(B374,""zh"",""vi"")"),"Trạm xăng")</f>
        <v>Trạm xăng</v>
      </c>
      <c r="F374" s="9" t="s">
        <v>15</v>
      </c>
    </row>
    <row r="375" spans="1:8">
      <c r="A375" s="23">
        <v>374</v>
      </c>
      <c r="B375" s="11" t="s">
        <v>3294</v>
      </c>
      <c r="C375" s="11"/>
      <c r="D375" s="11" t="s">
        <v>3295</v>
      </c>
      <c r="E375" s="9" t="str">
        <f ca="1">IFERROR(__xludf.DUMMYFUNCTION("GOOGLETRANSLATE(B375,""zh"",""vi"")"),"việc nhà")</f>
        <v>việc nhà</v>
      </c>
      <c r="F375" s="9" t="s">
        <v>90</v>
      </c>
    </row>
    <row r="376" spans="1:8">
      <c r="A376" s="23">
        <v>375</v>
      </c>
      <c r="B376" s="11" t="s">
        <v>3296</v>
      </c>
      <c r="C376" s="11"/>
      <c r="D376" s="11" t="s">
        <v>3297</v>
      </c>
      <c r="E376" s="9" t="str">
        <f ca="1">IFERROR(__xludf.DUMMYFUNCTION("GOOGLETRANSLATE(B376,""zh"",""vi"")"),"nếu như")</f>
        <v>nếu như</v>
      </c>
      <c r="F376" s="9" t="s">
        <v>87</v>
      </c>
    </row>
    <row r="377" spans="1:8">
      <c r="A377" s="23">
        <v>376</v>
      </c>
      <c r="B377" s="11" t="s">
        <v>3298</v>
      </c>
      <c r="C377" s="11"/>
      <c r="D377" s="11" t="s">
        <v>3299</v>
      </c>
      <c r="E377" s="9" t="str">
        <f ca="1">IFERROR(__xludf.DUMMYFUNCTION("GOOGLETRANSLATE(B377,""zh"",""vi"")"),"chắc chắn")</f>
        <v>chắc chắn</v>
      </c>
      <c r="F377" s="9" t="s">
        <v>87</v>
      </c>
    </row>
    <row r="378" spans="1:8">
      <c r="A378" s="23">
        <v>377</v>
      </c>
      <c r="B378" s="11" t="s">
        <v>3300</v>
      </c>
      <c r="C378" s="11"/>
      <c r="D378" s="11" t="s">
        <v>3301</v>
      </c>
      <c r="E378" s="9" t="str">
        <f ca="1">IFERROR(__xludf.DUMMYFUNCTION("GOOGLETRANSLATE(B378,""zh"",""vi"")"),"Phát hiện")</f>
        <v>Phát hiện</v>
      </c>
      <c r="F378" s="9" t="s">
        <v>15</v>
      </c>
    </row>
    <row r="379" spans="1:8">
      <c r="A379" s="23">
        <v>378</v>
      </c>
      <c r="B379" s="11" t="s">
        <v>3213</v>
      </c>
      <c r="C379" s="11"/>
      <c r="D379" s="11" t="s">
        <v>3214</v>
      </c>
      <c r="E379" s="9" t="str">
        <f ca="1">IFERROR(__xludf.DUMMYFUNCTION("GOOGLETRANSLATE(B379,""zh"",""vi"")"),"giảm bớt")</f>
        <v>giảm bớt</v>
      </c>
      <c r="F379" s="9" t="s">
        <v>90</v>
      </c>
    </row>
    <row r="380" spans="1:8">
      <c r="A380" s="23">
        <v>379</v>
      </c>
      <c r="B380" s="11" t="s">
        <v>3302</v>
      </c>
      <c r="C380" s="11"/>
      <c r="D380" s="11" t="s">
        <v>3303</v>
      </c>
      <c r="E380" s="9" t="str">
        <f ca="1">IFERROR(__xludf.DUMMYFUNCTION("GOOGLETRANSLATE(B380,""zh"",""vi"")"),"giảm cân")</f>
        <v>giảm cân</v>
      </c>
      <c r="F380" s="9" t="s">
        <v>87</v>
      </c>
    </row>
    <row r="381" spans="1:8">
      <c r="A381" s="23">
        <v>380</v>
      </c>
      <c r="B381" s="11" t="s">
        <v>3239</v>
      </c>
      <c r="C381" s="11"/>
      <c r="D381" s="11" t="s">
        <v>3240</v>
      </c>
      <c r="E381" s="9" t="str">
        <f ca="1">IFERROR(__xludf.DUMMYFUNCTION("GOOGLETRANSLATE(B381,""zh"",""vi"")"),"giảm bớt")</f>
        <v>giảm bớt</v>
      </c>
      <c r="F381" s="9" t="s">
        <v>87</v>
      </c>
    </row>
    <row r="382" spans="1:8">
      <c r="A382" s="23">
        <v>381</v>
      </c>
      <c r="B382" s="11" t="s">
        <v>3304</v>
      </c>
      <c r="C382" s="11"/>
      <c r="D382" s="11" t="s">
        <v>3305</v>
      </c>
      <c r="E382" s="9" t="str">
        <f ca="1">IFERROR(__xludf.DUMMYFUNCTION("GOOGLETRANSLATE(B382,""zh"",""vi"")"),"CV")</f>
        <v>CV</v>
      </c>
      <c r="F382" s="9" t="s">
        <v>15</v>
      </c>
    </row>
    <row r="383" spans="1:8">
      <c r="A383" s="23">
        <v>382</v>
      </c>
      <c r="B383" s="11" t="s">
        <v>3241</v>
      </c>
      <c r="C383" s="11"/>
      <c r="D383" s="11" t="s">
        <v>3242</v>
      </c>
      <c r="E383" s="9" t="str">
        <f ca="1">IFERROR(__xludf.DUMMYFUNCTION("GOOGLETRANSLATE(B383,""zh"",""vi"")"),"sự thích hợp")</f>
        <v>sự thích hợp</v>
      </c>
      <c r="F383" s="9" t="s">
        <v>90</v>
      </c>
    </row>
    <row r="384" spans="1:8">
      <c r="A384" s="23">
        <v>383</v>
      </c>
      <c r="B384" s="11" t="s">
        <v>3306</v>
      </c>
      <c r="C384" s="11"/>
      <c r="D384" s="11" t="s">
        <v>3307</v>
      </c>
      <c r="E384" s="9" t="str">
        <f ca="1">IFERROR(__xludf.DUMMYFUNCTION("GOOGLETRANSLATE(B384,""zh"",""vi"")"),"dần dần")</f>
        <v>dần dần</v>
      </c>
      <c r="F384" s="9" t="s">
        <v>87</v>
      </c>
    </row>
    <row r="385" spans="1:8">
      <c r="A385" s="23">
        <v>384</v>
      </c>
      <c r="B385" s="11" t="s">
        <v>3218</v>
      </c>
      <c r="C385" s="11"/>
      <c r="D385" s="11" t="s">
        <v>3219</v>
      </c>
      <c r="E385" s="9" t="str">
        <f ca="1">IFERROR(__xludf.DUMMYFUNCTION("GOOGLETRANSLATE(B385,""zh"",""vi"")"),"Dòng sông")</f>
        <v>Dòng sông</v>
      </c>
      <c r="F385" s="9" t="s">
        <v>87</v>
      </c>
    </row>
    <row r="386" spans="1:8">
      <c r="A386" s="23">
        <v>385</v>
      </c>
      <c r="B386" s="11" t="s">
        <v>3308</v>
      </c>
      <c r="C386" s="11"/>
      <c r="D386" s="11" t="s">
        <v>3309</v>
      </c>
      <c r="E386" s="9" t="str">
        <f ca="1">IFERROR(__xludf.DUMMYFUNCTION("GOOGLETRANSLATE(B386,""zh"",""vi"")"),"Hãy chú ý đến")</f>
        <v>Hãy chú ý đến</v>
      </c>
      <c r="F386" s="9" t="s">
        <v>15</v>
      </c>
    </row>
    <row r="387" spans="1:8">
      <c r="A387" s="23">
        <v>386</v>
      </c>
      <c r="B387" s="11" t="s">
        <v>3310</v>
      </c>
      <c r="C387" s="11"/>
      <c r="D387" s="11" t="s">
        <v>3311</v>
      </c>
      <c r="E387" s="9" t="str">
        <f ca="1">IFERROR(__xludf.DUMMYFUNCTION("GOOGLETRANSLATE(B387,""zh"",""vi"")"),"Bài giảng")</f>
        <v>Bài giảng</v>
      </c>
      <c r="F387" s="9" t="s">
        <v>90</v>
      </c>
    </row>
    <row r="388" spans="1:8">
      <c r="A388" s="23">
        <v>387</v>
      </c>
      <c r="B388" s="11" t="s">
        <v>3217</v>
      </c>
      <c r="C388" s="11"/>
      <c r="D388" s="11" t="s">
        <v>1881</v>
      </c>
      <c r="E388" s="9" t="str">
        <f ca="1">IFERROR(__xludf.DUMMYFUNCTION("GOOGLETRANSLATE(B388,""zh"",""vi"")"),"phần thưởng")</f>
        <v>phần thưởng</v>
      </c>
      <c r="F388" s="9" t="s">
        <v>87</v>
      </c>
    </row>
    <row r="389" spans="1:8">
      <c r="A389" s="23">
        <v>388</v>
      </c>
      <c r="B389" s="11" t="s">
        <v>3225</v>
      </c>
      <c r="C389" s="11"/>
      <c r="D389" s="11" t="s">
        <v>3226</v>
      </c>
      <c r="E389" s="9" t="str">
        <f ca="1">IFERROR(__xludf.DUMMYFUNCTION("GOOGLETRANSLATE(B389,""zh"",""vi"")"),"thưởng")</f>
        <v>thưởng</v>
      </c>
      <c r="F389" s="9" t="s">
        <v>87</v>
      </c>
    </row>
    <row r="390" spans="1:8">
      <c r="A390" s="23">
        <v>389</v>
      </c>
      <c r="B390" s="11" t="s">
        <v>3233</v>
      </c>
      <c r="C390" s="11"/>
      <c r="D390" s="11" t="s">
        <v>3234</v>
      </c>
      <c r="E390" s="9" t="str">
        <f ca="1">IFERROR(__xludf.DUMMYFUNCTION("GOOGLETRANSLATE(B390,""zh"",""vi"")"),"học bổng")</f>
        <v>học bổng</v>
      </c>
      <c r="F390" s="9" t="s">
        <v>15</v>
      </c>
    </row>
    <row r="391" spans="1:8">
      <c r="A391" s="23">
        <v>390</v>
      </c>
      <c r="B391" s="11" t="s">
        <v>3215</v>
      </c>
      <c r="C391" s="11"/>
      <c r="D391" s="11" t="s">
        <v>3216</v>
      </c>
      <c r="E391" s="9" t="str">
        <f ca="1">IFERROR(__xludf.DUMMYFUNCTION("GOOGLETRANSLATE(B391,""zh"",""vi"")"),"làm rơi")</f>
        <v>làm rơi</v>
      </c>
      <c r="F391" s="9" t="s">
        <v>90</v>
      </c>
    </row>
    <row r="392" spans="1:8">
      <c r="A392" s="23">
        <v>391</v>
      </c>
      <c r="B392" s="11" t="s">
        <v>3221</v>
      </c>
      <c r="C392" s="11"/>
      <c r="D392" s="11" t="s">
        <v>3222</v>
      </c>
      <c r="E392" s="9" t="str">
        <f ca="1">IFERROR(__xludf.DUMMYFUNCTION("GOOGLETRANSLATE(B392,""zh"",""vi"")"),"giảm bớt")</f>
        <v>giảm bớt</v>
      </c>
      <c r="F392" s="9" t="s">
        <v>87</v>
      </c>
    </row>
    <row r="393" spans="1:8">
      <c r="A393" s="23">
        <v>392</v>
      </c>
      <c r="B393" s="11" t="s">
        <v>3223</v>
      </c>
      <c r="C393" s="11"/>
      <c r="D393" s="11" t="s">
        <v>3224</v>
      </c>
      <c r="E393" s="9" t="str">
        <f ca="1">IFERROR(__xludf.DUMMYFUNCTION("GOOGLETRANSLATE(B393,""zh"",""vi"")"),"Giảm giá")</f>
        <v>Giảm giá</v>
      </c>
      <c r="F393" s="9" t="s">
        <v>87</v>
      </c>
    </row>
    <row r="394" spans="1:8">
      <c r="A394" s="23">
        <v>393</v>
      </c>
      <c r="B394" s="11" t="s">
        <v>3229</v>
      </c>
      <c r="C394" s="11"/>
      <c r="D394" s="11" t="s">
        <v>3230</v>
      </c>
      <c r="E394" s="9" t="str">
        <f ca="1">IFERROR(__xludf.DUMMYFUNCTION("GOOGLETRANSLATE(B394,""zh"",""vi"")"),"hạ cánh")</f>
        <v>hạ cánh</v>
      </c>
      <c r="F394" s="9" t="s">
        <v>15</v>
      </c>
    </row>
    <row r="395" spans="1:8">
      <c r="A395" s="23">
        <v>394</v>
      </c>
      <c r="B395" s="11" t="s">
        <v>3231</v>
      </c>
      <c r="C395" s="11"/>
      <c r="D395" s="11" t="s">
        <v>3232</v>
      </c>
      <c r="E395" s="9" t="str">
        <f ca="1">IFERROR(__xludf.DUMMYFUNCTION("GOOGLETRANSLATE(B395,""zh"",""vi"")"),"Làm mát")</f>
        <v>Làm mát</v>
      </c>
      <c r="F395" s="9" t="s">
        <v>90</v>
      </c>
    </row>
    <row r="396" spans="1:8">
      <c r="A396" s="23">
        <v>395</v>
      </c>
      <c r="B396" s="11" t="s">
        <v>3312</v>
      </c>
      <c r="C396" s="11"/>
      <c r="D396" s="11" t="s">
        <v>3313</v>
      </c>
      <c r="E396" s="9" t="str">
        <f ca="1">IFERROR(__xludf.DUMMYFUNCTION("GOOGLETRANSLATE(B396,""zh"",""vi"")"),"trao đổi")</f>
        <v>trao đổi</v>
      </c>
      <c r="F396" s="9" t="s">
        <v>87</v>
      </c>
      <c r="G396" s="33"/>
      <c r="H396" s="33"/>
    </row>
    <row r="397" spans="1:8">
      <c r="A397" s="23">
        <v>396</v>
      </c>
      <c r="B397" s="11" t="s">
        <v>3314</v>
      </c>
      <c r="C397" s="11"/>
      <c r="D397" s="11" t="s">
        <v>3315</v>
      </c>
      <c r="E397" s="9" t="str">
        <f ca="1">IFERROR(__xludf.DUMMYFUNCTION("GOOGLETRANSLATE(B397,""zh"",""vi"")"),"giao tiếp")</f>
        <v>giao tiếp</v>
      </c>
      <c r="F397" s="9" t="s">
        <v>87</v>
      </c>
    </row>
    <row r="398" spans="1:8">
      <c r="A398" s="23">
        <v>397</v>
      </c>
      <c r="B398" s="11" t="s">
        <v>3316</v>
      </c>
      <c r="C398" s="11"/>
      <c r="D398" s="11" t="s">
        <v>3317</v>
      </c>
      <c r="E398" s="9" t="str">
        <f ca="1">IFERROR(__xludf.DUMMYFUNCTION("GOOGLETRANSLATE(B398,""zh"",""vi"")"),"giáo sư")</f>
        <v>giáo sư</v>
      </c>
      <c r="F398" s="9" t="s">
        <v>15</v>
      </c>
    </row>
    <row r="399" spans="1:8">
      <c r="A399" s="23">
        <v>398</v>
      </c>
      <c r="B399" s="11" t="s">
        <v>3318</v>
      </c>
      <c r="C399" s="11"/>
      <c r="D399" s="11" t="s">
        <v>3319</v>
      </c>
      <c r="E399" s="9" t="str">
        <f ca="1">IFERROR(__xludf.DUMMYFUNCTION("GOOGLETRANSLATE(B399,""zh"",""vi"")"),"bài học")</f>
        <v>bài học</v>
      </c>
      <c r="F399" s="9" t="s">
        <v>90</v>
      </c>
    </row>
    <row r="400" spans="1:8">
      <c r="A400" s="23">
        <v>399</v>
      </c>
      <c r="B400" s="11" t="s">
        <v>3320</v>
      </c>
      <c r="C400" s="11"/>
      <c r="D400" s="11" t="s">
        <v>3321</v>
      </c>
      <c r="E400" s="9" t="str">
        <f ca="1">IFERROR(__xludf.DUMMYFUNCTION("GOOGLETRANSLATE(B400,""zh"",""vi"")"),"sân khấu")</f>
        <v>sân khấu</v>
      </c>
      <c r="F400" s="9" t="s">
        <v>87</v>
      </c>
    </row>
    <row r="401" spans="1:6">
      <c r="A401" s="23">
        <v>400</v>
      </c>
      <c r="B401" s="11" t="s">
        <v>3322</v>
      </c>
      <c r="C401" s="11"/>
      <c r="D401" s="11" t="s">
        <v>3323</v>
      </c>
      <c r="E401" s="9" t="str">
        <f ca="1">IFERROR(__xludf.DUMMYFUNCTION("GOOGLETRANSLATE(B401,""zh"",""vi"")"),"đường phố")</f>
        <v>đường phố</v>
      </c>
      <c r="F401" s="9" t="s">
        <v>87</v>
      </c>
    </row>
    <row r="402" spans="1:6">
      <c r="A402" s="23">
        <v>401</v>
      </c>
      <c r="B402" s="11" t="s">
        <v>3324</v>
      </c>
      <c r="C402" s="11"/>
      <c r="D402" s="11" t="s">
        <v>3325</v>
      </c>
      <c r="E402" s="9" t="str">
        <f ca="1">IFERROR(__xludf.DUMMYFUNCTION("GOOGLETRANSLATE(B402,""zh"",""vi"")"),"cứu")</f>
        <v>cứu</v>
      </c>
      <c r="F402" s="9" t="s">
        <v>15</v>
      </c>
    </row>
    <row r="403" spans="1:6">
      <c r="A403" s="23">
        <v>402</v>
      </c>
      <c r="B403" s="11" t="s">
        <v>3326</v>
      </c>
      <c r="C403" s="11"/>
      <c r="D403" s="11" t="s">
        <v>1900</v>
      </c>
      <c r="E403" s="9" t="str">
        <f ca="1">IFERROR(__xludf.DUMMYFUNCTION("GOOGLETRANSLATE(B403,""zh"",""vi"")"),"Nút thắt")</f>
        <v>Nút thắt</v>
      </c>
      <c r="F403" s="9" t="s">
        <v>90</v>
      </c>
    </row>
    <row r="404" spans="1:6">
      <c r="A404" s="23">
        <v>403</v>
      </c>
      <c r="B404" s="11" t="s">
        <v>3327</v>
      </c>
      <c r="C404" s="11"/>
      <c r="D404" s="11" t="s">
        <v>3328</v>
      </c>
      <c r="E404" s="9" t="str">
        <f ca="1">IFERROR(__xludf.DUMMYFUNCTION("GOOGLETRANSLATE(B404,""zh"",""vi"")"),"kết cấu")</f>
        <v>kết cấu</v>
      </c>
      <c r="F404" s="9" t="s">
        <v>87</v>
      </c>
    </row>
    <row r="405" spans="1:6">
      <c r="A405" s="23">
        <v>404</v>
      </c>
      <c r="B405" s="11" t="s">
        <v>3329</v>
      </c>
      <c r="C405" s="11"/>
      <c r="D405" s="11" t="s">
        <v>3330</v>
      </c>
      <c r="E405" s="9" t="str">
        <f ca="1">IFERROR(__xludf.DUMMYFUNCTION("GOOGLETRANSLATE(B405,""zh"",""vi"")"),"tóm lại")</f>
        <v>tóm lại</v>
      </c>
      <c r="F405" s="9" t="s">
        <v>87</v>
      </c>
    </row>
    <row r="406" spans="1:6">
      <c r="A406" s="23">
        <v>405</v>
      </c>
      <c r="B406" s="11" t="s">
        <v>1912</v>
      </c>
      <c r="C406" s="11"/>
      <c r="D406" s="11" t="s">
        <v>3331</v>
      </c>
      <c r="E406" s="9" t="str">
        <f ca="1">IFERROR(__xludf.DUMMYFUNCTION("GOOGLETRANSLATE(B406,""zh"",""vi"")"),"chị em gái")</f>
        <v>chị em gái</v>
      </c>
      <c r="F406" s="9" t="s">
        <v>15</v>
      </c>
    </row>
    <row r="407" spans="1:6">
      <c r="A407" s="23">
        <v>406</v>
      </c>
      <c r="B407" s="11" t="s">
        <v>3332</v>
      </c>
      <c r="C407" s="11"/>
      <c r="D407" s="11" t="s">
        <v>3333</v>
      </c>
      <c r="E407" s="9" t="str">
        <f ca="1">IFERROR(__xludf.DUMMYFUNCTION("GOOGLETRANSLATE(B407,""zh"",""vi"")"),"giải thích")</f>
        <v>giải thích</v>
      </c>
      <c r="F407" s="35" t="s">
        <v>150</v>
      </c>
    </row>
    <row r="408" spans="1:6">
      <c r="A408" s="23">
        <v>407</v>
      </c>
      <c r="B408" s="11" t="s">
        <v>3334</v>
      </c>
      <c r="C408" s="11"/>
      <c r="D408" s="11" t="s">
        <v>3335</v>
      </c>
      <c r="E408" s="9" t="str">
        <f ca="1">IFERROR(__xludf.DUMMYFUNCTION("GOOGLETRANSLATE(B408,""zh"",""vi"")"),"Càng sớm càng tốt")</f>
        <v>Càng sớm càng tốt</v>
      </c>
      <c r="F408" s="35" t="s">
        <v>34</v>
      </c>
    </row>
    <row r="409" spans="1:6">
      <c r="A409" s="23">
        <v>408</v>
      </c>
      <c r="B409" s="11" t="s">
        <v>3336</v>
      </c>
      <c r="C409" s="11"/>
      <c r="D409" s="11" t="s">
        <v>3337</v>
      </c>
      <c r="E409" s="9" t="str">
        <f ca="1">IFERROR(__xludf.DUMMYFUNCTION("GOOGLETRANSLATE(B409,""zh"",""vi"")"),"đóng")</f>
        <v>đóng</v>
      </c>
      <c r="F409" s="35" t="s">
        <v>107</v>
      </c>
    </row>
    <row r="410" spans="1:6">
      <c r="A410" s="23">
        <v>409</v>
      </c>
      <c r="B410" s="11" t="s">
        <v>3338</v>
      </c>
      <c r="C410" s="11"/>
      <c r="D410" s="11" t="s">
        <v>3339</v>
      </c>
      <c r="E410" s="9" t="str">
        <f ca="1">IFERROR(__xludf.DUMMYFUNCTION("GOOGLETRANSLATE(B410,""zh"",""vi"")"),"Hãy cố gắng hết sức mình")</f>
        <v>Hãy cố gắng hết sức mình</v>
      </c>
      <c r="F410" s="35" t="s">
        <v>15</v>
      </c>
    </row>
    <row r="411" spans="1:6">
      <c r="A411" s="23">
        <v>410</v>
      </c>
      <c r="B411" s="11" t="s">
        <v>3340</v>
      </c>
      <c r="C411" s="11"/>
      <c r="D411" s="11" t="s">
        <v>3341</v>
      </c>
      <c r="E411" s="9" t="str">
        <f ca="1">IFERROR(__xludf.DUMMYFUNCTION("GOOGLETRANSLATE(B411,""zh"",""vi"")"),"nhập khẩu")</f>
        <v>nhập khẩu</v>
      </c>
      <c r="F411" s="35" t="s">
        <v>115</v>
      </c>
    </row>
    <row r="412" spans="1:6">
      <c r="A412" s="23">
        <v>411</v>
      </c>
      <c r="B412" s="11" t="s">
        <v>3342</v>
      </c>
      <c r="C412" s="11"/>
      <c r="D412" s="11" t="s">
        <v>3343</v>
      </c>
      <c r="E412" s="9" t="str">
        <f ca="1">IFERROR(__xludf.DUMMYFUNCTION("GOOGLETRANSLATE(B412,""zh"",""vi"")"),"Thời hiện đại")</f>
        <v>Thời hiện đại</v>
      </c>
      <c r="F412" s="35" t="s">
        <v>34</v>
      </c>
    </row>
    <row r="413" spans="1:6">
      <c r="A413" s="23">
        <v>412</v>
      </c>
      <c r="B413" s="11" t="s">
        <v>3344</v>
      </c>
      <c r="C413" s="11"/>
      <c r="D413" s="11" t="s">
        <v>3345</v>
      </c>
      <c r="E413" s="9" t="str">
        <f ca="1">IFERROR(__xludf.DUMMYFUNCTION("GOOGLETRANSLATE(B413,""zh"",""vi"")"),"cấm")</f>
        <v>cấm</v>
      </c>
      <c r="F413" s="35" t="s">
        <v>115</v>
      </c>
    </row>
    <row r="414" spans="1:6">
      <c r="A414" s="23">
        <v>413</v>
      </c>
      <c r="B414" s="11" t="s">
        <v>3346</v>
      </c>
      <c r="C414" s="11"/>
      <c r="D414" s="11" t="s">
        <v>3347</v>
      </c>
      <c r="E414" s="9" t="str">
        <f ca="1">IFERROR(__xludf.DUMMYFUNCTION("GOOGLETRANSLATE(B414,""zh"",""vi"")"),"cổ điển")</f>
        <v>cổ điển</v>
      </c>
      <c r="F414" s="35" t="s">
        <v>107</v>
      </c>
    </row>
    <row r="415" spans="1:6">
      <c r="A415" s="23">
        <v>414</v>
      </c>
      <c r="B415" s="11" t="s">
        <v>3348</v>
      </c>
      <c r="C415" s="11"/>
      <c r="D415" s="11" t="s">
        <v>3349</v>
      </c>
      <c r="E415" s="9" t="str">
        <f ca="1">IFERROR(__xludf.DUMMYFUNCTION("GOOGLETRANSLATE(B415,""zh"",""vi"")"),"năng lượng")</f>
        <v>năng lượng</v>
      </c>
      <c r="F415" s="35" t="s">
        <v>64</v>
      </c>
    </row>
    <row r="416" spans="1:6">
      <c r="A416" s="23">
        <v>415</v>
      </c>
      <c r="B416" s="11" t="s">
        <v>3350</v>
      </c>
      <c r="C416" s="11"/>
      <c r="D416" s="11" t="s">
        <v>3351</v>
      </c>
      <c r="E416" s="9" t="str">
        <f ca="1">IFERROR(__xludf.DUMMYFUNCTION("GOOGLETRANSLATE(B416,""zh"",""vi"")"),"hóa ra")</f>
        <v>hóa ra</v>
      </c>
      <c r="F416" s="35" t="s">
        <v>30</v>
      </c>
    </row>
    <row r="417" spans="1:6">
      <c r="A417" s="23">
        <v>416</v>
      </c>
      <c r="B417" s="11" t="s">
        <v>3352</v>
      </c>
      <c r="C417" s="11"/>
      <c r="D417" s="11" t="s">
        <v>3353</v>
      </c>
      <c r="E417" s="9" t="str">
        <f ca="1">IFERROR(__xludf.DUMMYFUNCTION("GOOGLETRANSLATE(B417,""zh"",""vi"")"),"ống kính")</f>
        <v>ống kính</v>
      </c>
      <c r="F417" s="35" t="s">
        <v>48</v>
      </c>
    </row>
    <row r="418" spans="1:6">
      <c r="A418" s="23">
        <v>417</v>
      </c>
      <c r="B418" s="11" t="s">
        <v>3354</v>
      </c>
      <c r="C418" s="11"/>
      <c r="D418" s="11" t="s">
        <v>3355</v>
      </c>
      <c r="E418" s="9" t="str">
        <f ca="1">IFERROR(__xludf.DUMMYFUNCTION("GOOGLETRANSLATE(B418,""zh"",""vi"")"),"Gương")</f>
        <v>Gương</v>
      </c>
      <c r="F418" s="35" t="s">
        <v>48</v>
      </c>
    </row>
    <row r="419" spans="1:6">
      <c r="A419" s="23">
        <v>418</v>
      </c>
      <c r="B419" s="11" t="s">
        <v>3356</v>
      </c>
      <c r="C419" s="11"/>
      <c r="D419" s="11" t="s">
        <v>3357</v>
      </c>
      <c r="E419" s="9" t="str">
        <f ca="1">IFERROR(__xludf.DUMMYFUNCTION("GOOGLETRANSLATE(B419,""zh"",""vi"")"),"sau tất cả")</f>
        <v>sau tất cả</v>
      </c>
      <c r="F419" s="35" t="s">
        <v>30</v>
      </c>
    </row>
    <row r="420" spans="1:6">
      <c r="A420" s="23">
        <v>419</v>
      </c>
      <c r="B420" s="11" t="s">
        <v>3358</v>
      </c>
      <c r="C420" s="11"/>
      <c r="D420" s="11" t="s">
        <v>3359</v>
      </c>
      <c r="E420" s="9" t="str">
        <f ca="1">IFERROR(__xludf.DUMMYFUNCTION("GOOGLETRANSLATE(B420,""zh"",""vi"")"),"thanh")</f>
        <v>thanh</v>
      </c>
      <c r="F420" s="35" t="s">
        <v>90</v>
      </c>
    </row>
    <row r="421" spans="1:6">
      <c r="A421" s="23">
        <v>420</v>
      </c>
      <c r="B421" s="11" t="s">
        <v>3360</v>
      </c>
      <c r="C421" s="11"/>
      <c r="D421" s="11" t="s">
        <v>3361</v>
      </c>
      <c r="E421" s="9" t="str">
        <f ca="1">IFERROR(__xludf.DUMMYFUNCTION("GOOGLETRANSLATE(B421,""zh"",""vi"")"),"người dân")</f>
        <v>người dân</v>
      </c>
      <c r="F421" s="35" t="s">
        <v>7</v>
      </c>
    </row>
    <row r="422" spans="1:6">
      <c r="A422" s="23">
        <v>421</v>
      </c>
      <c r="B422" s="11" t="s">
        <v>3362</v>
      </c>
      <c r="C422" s="11"/>
      <c r="D422" s="11" t="s">
        <v>3363</v>
      </c>
      <c r="E422" s="9" t="str">
        <f ca="1">IFERROR(__xludf.DUMMYFUNCTION("GOOGLETRANSLATE(B422,""zh"",""vi"")"),"sống")</f>
        <v>sống</v>
      </c>
      <c r="F422" s="35" t="s">
        <v>87</v>
      </c>
    </row>
    <row r="423" spans="1:6">
      <c r="A423" s="23">
        <v>422</v>
      </c>
      <c r="B423" s="11" t="s">
        <v>3364</v>
      </c>
      <c r="C423" s="11"/>
      <c r="D423" s="11" t="s">
        <v>3365</v>
      </c>
      <c r="E423" s="9" t="str">
        <f ca="1">IFERROR(__xludf.DUMMYFUNCTION("GOOGLETRANSLATE(B423,""zh"",""vi"")"),"Cục (tên)")</f>
        <v>Cục (tên)</v>
      </c>
      <c r="F423" s="35" t="s">
        <v>115</v>
      </c>
    </row>
    <row r="424" spans="1:6">
      <c r="A424" s="23">
        <v>423</v>
      </c>
      <c r="B424" s="11" t="s">
        <v>3366</v>
      </c>
      <c r="C424" s="11"/>
      <c r="D424" s="11" t="s">
        <v>3367</v>
      </c>
      <c r="E424" s="9" t="str">
        <f ca="1">IFERROR(__xludf.DUMMYFUNCTION("GOOGLETRANSLATE(B424,""zh"",""vi"")"),"to lớn")</f>
        <v>to lớn</v>
      </c>
      <c r="F424" s="35" t="s">
        <v>107</v>
      </c>
    </row>
    <row r="425" spans="1:6">
      <c r="A425" s="23">
        <v>424</v>
      </c>
      <c r="B425" s="11" t="s">
        <v>3368</v>
      </c>
      <c r="C425" s="11"/>
      <c r="D425" s="11" t="s">
        <v>3369</v>
      </c>
      <c r="E425" s="9" t="str">
        <f ca="1">IFERROR(__xludf.DUMMYFUNCTION("GOOGLETRANSLATE(B425,""zh"",""vi"")"),"có")</f>
        <v>có</v>
      </c>
      <c r="F425" s="35" t="s">
        <v>107</v>
      </c>
    </row>
    <row r="426" spans="1:6">
      <c r="A426" s="23">
        <v>425</v>
      </c>
      <c r="B426" s="11" t="s">
        <v>3370</v>
      </c>
      <c r="C426" s="11"/>
      <c r="D426" s="11" t="s">
        <v>3371</v>
      </c>
      <c r="E426" s="9" t="str">
        <f ca="1">IFERROR(__xludf.DUMMYFUNCTION("GOOGLETRANSLATE(B426,""zh"",""vi"")"),"khoảng cách")</f>
        <v>khoảng cách</v>
      </c>
      <c r="F426" s="35" t="s">
        <v>60</v>
      </c>
    </row>
    <row r="427" spans="1:6">
      <c r="A427" s="23">
        <v>426</v>
      </c>
      <c r="B427" s="11" t="s">
        <v>3372</v>
      </c>
      <c r="C427" s="11"/>
      <c r="D427" s="11" t="s">
        <v>1940</v>
      </c>
      <c r="E427" s="9" t="str">
        <f ca="1">IFERROR(__xludf.DUMMYFUNCTION("GOOGLETRANSLATE(B427,""zh"",""vi"")"),"Tập trung")</f>
        <v>Tập trung</v>
      </c>
      <c r="F427" s="35" t="s">
        <v>87</v>
      </c>
    </row>
    <row r="428" spans="1:6">
      <c r="A428" s="23">
        <v>427</v>
      </c>
      <c r="B428" s="11" t="s">
        <v>3373</v>
      </c>
      <c r="C428" s="11"/>
      <c r="D428" s="11" t="s">
        <v>3374</v>
      </c>
      <c r="E428" s="9" t="str">
        <f ca="1">IFERROR(__xludf.DUMMYFUNCTION("GOOGLETRANSLATE(B428,""zh"",""vi"")"),"đoàn tụ")</f>
        <v>đoàn tụ</v>
      </c>
      <c r="F428" s="35" t="s">
        <v>87</v>
      </c>
    </row>
    <row r="429" spans="1:6">
      <c r="A429" s="23">
        <v>428</v>
      </c>
      <c r="B429" s="11" t="s">
        <v>3375</v>
      </c>
      <c r="C429" s="11"/>
      <c r="D429" s="11" t="s">
        <v>3376</v>
      </c>
      <c r="E429" s="9" t="str">
        <f ca="1">IFERROR(__xludf.DUMMYFUNCTION("GOOGLETRANSLATE(B429,""zh"",""vi"")"),"cuộn")</f>
        <v>cuộn</v>
      </c>
      <c r="F429" s="35" t="s">
        <v>21</v>
      </c>
    </row>
    <row r="430" spans="1:6">
      <c r="A430" s="23">
        <v>429</v>
      </c>
      <c r="B430" s="11" t="s">
        <v>3375</v>
      </c>
      <c r="C430" s="11"/>
      <c r="D430" s="11" t="s">
        <v>3377</v>
      </c>
      <c r="E430" s="9" t="str">
        <f ca="1">IFERROR(__xludf.DUMMYFUNCTION("GOOGLETRANSLATE(B430,""zh"",""vi"")"),"cuộn")</f>
        <v>cuộn</v>
      </c>
      <c r="F430" s="35" t="s">
        <v>21</v>
      </c>
    </row>
    <row r="431" spans="1:6">
      <c r="A431" s="23">
        <v>430</v>
      </c>
      <c r="B431" s="11" t="s">
        <v>3378</v>
      </c>
      <c r="C431" s="11"/>
      <c r="D431" s="11" t="s">
        <v>3379</v>
      </c>
      <c r="E431" s="9" t="str">
        <f ca="1">IFERROR(__xludf.DUMMYFUNCTION("GOOGLETRANSLATE(B431,""zh"",""vi"")"),"Vai trò")</f>
        <v>Vai trò</v>
      </c>
      <c r="F431" s="35" t="s">
        <v>115</v>
      </c>
    </row>
    <row r="432" spans="1:6">
      <c r="A432" s="23">
        <v>431</v>
      </c>
      <c r="B432" s="11" t="s">
        <v>1949</v>
      </c>
      <c r="C432" s="11"/>
      <c r="D432" s="11" t="s">
        <v>3380</v>
      </c>
      <c r="E432" s="9" t="str">
        <f ca="1">IFERROR(__xludf.DUMMYFUNCTION("GOOGLETRANSLATE(B432,""zh"",""vi"")"),"ra hoa")</f>
        <v>ra hoa</v>
      </c>
      <c r="F432" s="35" t="s">
        <v>203</v>
      </c>
    </row>
    <row r="433" spans="1:6">
      <c r="A433" s="23">
        <v>432</v>
      </c>
      <c r="B433" s="11" t="s">
        <v>3381</v>
      </c>
      <c r="C433" s="11"/>
      <c r="D433" s="11" t="s">
        <v>3382</v>
      </c>
      <c r="E433" s="9" t="str">
        <f ca="1">IFERROR(__xludf.DUMMYFUNCTION("GOOGLETRANSLATE(B433,""zh"",""vi"")"),"nước sôi")</f>
        <v>nước sôi</v>
      </c>
      <c r="F433" s="35" t="s">
        <v>87</v>
      </c>
    </row>
    <row r="434" spans="1:6">
      <c r="A434" s="23">
        <v>433</v>
      </c>
      <c r="B434" s="11" t="s">
        <v>3383</v>
      </c>
      <c r="C434" s="11"/>
      <c r="D434" s="11" t="s">
        <v>3384</v>
      </c>
      <c r="E434" s="9" t="str">
        <f ca="1">IFERROR(__xludf.DUMMYFUNCTION("GOOGLETRANSLATE(B434,""zh"",""vi"")"),"khinh miệt")</f>
        <v>khinh miệt</v>
      </c>
      <c r="F434" s="35" t="s">
        <v>15</v>
      </c>
    </row>
    <row r="435" spans="1:6">
      <c r="A435" s="23">
        <v>434</v>
      </c>
      <c r="B435" s="11" t="s">
        <v>1959</v>
      </c>
      <c r="C435" s="11"/>
      <c r="D435" s="11" t="s">
        <v>3385</v>
      </c>
      <c r="E435" s="9" t="str">
        <f ca="1">IFERROR(__xludf.DUMMYFUNCTION("GOOGLETRANSLATE(B435,""zh"",""vi"")"),"Có vẻ như vậy")</f>
        <v>Có vẻ như vậy</v>
      </c>
      <c r="F435" s="35" t="s">
        <v>150</v>
      </c>
    </row>
    <row r="436" spans="1:6">
      <c r="A436" s="23">
        <v>435</v>
      </c>
      <c r="B436" s="11" t="s">
        <v>3386</v>
      </c>
      <c r="C436" s="11"/>
      <c r="D436" s="11" t="s">
        <v>3387</v>
      </c>
      <c r="E436" s="9" t="str">
        <f ca="1">IFERROR(__xludf.DUMMYFUNCTION("GOOGLETRANSLATE(B436,""zh"",""vi"")"),"thăm nom")</f>
        <v>thăm nom</v>
      </c>
      <c r="F436" s="35" t="s">
        <v>7</v>
      </c>
    </row>
    <row r="437" spans="1:6">
      <c r="A437" s="23">
        <v>436</v>
      </c>
      <c r="B437" s="11" t="s">
        <v>3388</v>
      </c>
      <c r="C437" s="11"/>
      <c r="D437" s="11" t="s">
        <v>3389</v>
      </c>
      <c r="E437" s="9" t="str">
        <f ca="1">IFERROR(__xludf.DUMMYFUNCTION("GOOGLETRANSLATE(B437,""zh"",""vi"")"),"Cuộc điều tra")</f>
        <v>Cuộc điều tra</v>
      </c>
      <c r="F437" s="35" t="s">
        <v>115</v>
      </c>
    </row>
    <row r="438" spans="1:6">
      <c r="A438" s="23">
        <v>437</v>
      </c>
      <c r="B438" s="11" t="s">
        <v>3390</v>
      </c>
      <c r="C438" s="11"/>
      <c r="D438" s="11" t="s">
        <v>3391</v>
      </c>
      <c r="E438" s="9" t="str">
        <f ca="1">IFERROR(__xludf.DUMMYFUNCTION("GOOGLETRANSLATE(B438,""zh"",""vi"")"),"coi như")</f>
        <v>coi như</v>
      </c>
      <c r="F438" s="35" t="s">
        <v>150</v>
      </c>
    </row>
    <row r="439" spans="1:6">
      <c r="A439" s="23">
        <v>438</v>
      </c>
      <c r="B439" s="11" t="s">
        <v>3392</v>
      </c>
      <c r="C439" s="11"/>
      <c r="D439" s="11" t="s">
        <v>3393</v>
      </c>
      <c r="E439" s="9" t="str">
        <f ca="1">IFERROR(__xludf.DUMMYFUNCTION("GOOGLETRANSLATE(B439,""zh"",""vi"")"),"ho")</f>
        <v>ho</v>
      </c>
      <c r="F439" s="35" t="s">
        <v>64</v>
      </c>
    </row>
    <row r="440" spans="1:6">
      <c r="A440" s="23">
        <v>439</v>
      </c>
      <c r="B440" s="11" t="s">
        <v>3394</v>
      </c>
      <c r="C440" s="11"/>
      <c r="D440" s="11" t="s">
        <v>3395</v>
      </c>
      <c r="E440" s="9" t="str">
        <f ca="1">IFERROR(__xludf.DUMMYFUNCTION("GOOGLETRANSLATE(B440,""zh"",""vi"")"),"dễ thấy")</f>
        <v>dễ thấy</v>
      </c>
      <c r="F440" s="35" t="s">
        <v>150</v>
      </c>
    </row>
    <row r="441" spans="1:6">
      <c r="A441" s="23">
        <v>440</v>
      </c>
      <c r="B441" s="11" t="s">
        <v>3396</v>
      </c>
      <c r="C441" s="11"/>
      <c r="D441" s="11" t="s">
        <v>3397</v>
      </c>
      <c r="E441" s="9" t="str">
        <f ca="1">IFERROR(__xludf.DUMMYFUNCTION("GOOGLETRANSLATE(B441,""zh"",""vi"")"),"không gian")</f>
        <v>không gian</v>
      </c>
      <c r="F441" s="35" t="s">
        <v>60</v>
      </c>
    </row>
    <row r="442" spans="1:6">
      <c r="A442" s="23">
        <v>441</v>
      </c>
      <c r="B442" s="11" t="s">
        <v>3398</v>
      </c>
      <c r="C442" s="11"/>
      <c r="D442" s="11" t="s">
        <v>3399</v>
      </c>
      <c r="E442" s="9" t="str">
        <f ca="1">IFERROR(__xludf.DUMMYFUNCTION("GOOGLETRANSLATE(B442,""zh"",""vi"")"),"vô giá trị")</f>
        <v>vô giá trị</v>
      </c>
      <c r="F442" s="35" t="s">
        <v>107</v>
      </c>
    </row>
    <row r="443" spans="1:6">
      <c r="A443" s="23">
        <v>442</v>
      </c>
      <c r="B443" s="11" t="s">
        <v>3400</v>
      </c>
      <c r="C443" s="11"/>
      <c r="D443" s="11" t="s">
        <v>3401</v>
      </c>
      <c r="E443" s="9" t="str">
        <f ca="1">IFERROR(__xludf.DUMMYFUNCTION("GOOGLETRANSLATE(B443,""zh"",""vi"")"),"túi")</f>
        <v>túi</v>
      </c>
      <c r="F443" s="35" t="s">
        <v>48</v>
      </c>
    </row>
    <row r="444" spans="1:6">
      <c r="A444" s="23">
        <v>443</v>
      </c>
      <c r="B444" s="11" t="s">
        <v>3402</v>
      </c>
      <c r="C444" s="11"/>
      <c r="D444" s="11" t="s">
        <v>3403</v>
      </c>
      <c r="E444" s="9" t="str">
        <f ca="1">IFERROR(__xludf.DUMMYFUNCTION("GOOGLETRANSLATE(B444,""zh"",""vi"")"),"Ngôn ngữ nói")</f>
        <v>Ngôn ngữ nói</v>
      </c>
      <c r="F444" s="35" t="s">
        <v>87</v>
      </c>
    </row>
    <row r="445" spans="1:6">
      <c r="A445" s="23">
        <v>444</v>
      </c>
      <c r="B445" s="11" t="s">
        <v>3404</v>
      </c>
      <c r="C445" s="11"/>
      <c r="D445" s="11" t="s">
        <v>3405</v>
      </c>
      <c r="E445" s="9" t="str">
        <f ca="1">IFERROR(__xludf.DUMMYFUNCTION("GOOGLETRANSLATE(B445,""zh"",""vi"")"),"vị đắng")</f>
        <v>vị đắng</v>
      </c>
      <c r="F445" s="35" t="s">
        <v>107</v>
      </c>
    </row>
    <row r="446" spans="1:6">
      <c r="A446" s="23">
        <v>445</v>
      </c>
      <c r="B446" s="11" t="s">
        <v>3406</v>
      </c>
      <c r="C446" s="11"/>
      <c r="D446" s="11" t="s">
        <v>3407</v>
      </c>
      <c r="E446" s="9" t="str">
        <f ca="1">IFERROR(__xludf.DUMMYFUNCTION("GOOGLETRANSLATE(B446,""zh"",""vi"")"),"Kế toán")</f>
        <v>Kế toán</v>
      </c>
      <c r="F446" s="35" t="s">
        <v>115</v>
      </c>
    </row>
    <row r="447" spans="1:6">
      <c r="A447" s="23">
        <v>446</v>
      </c>
      <c r="B447" s="11" t="s">
        <v>3408</v>
      </c>
      <c r="C447" s="11"/>
      <c r="D447" s="11" t="s">
        <v>3409</v>
      </c>
      <c r="E447" s="9" t="str">
        <f ca="1">IFERROR(__xludf.DUMMYFUNCTION("GOOGLETRANSLATE(B447,""zh"",""vi"")"),"giao hàng nhanh")</f>
        <v>giao hàng nhanh</v>
      </c>
      <c r="F447" s="35" t="s">
        <v>87</v>
      </c>
    </row>
    <row r="448" spans="1:6">
      <c r="A448" s="23">
        <v>447</v>
      </c>
      <c r="B448" s="11" t="s">
        <v>3410</v>
      </c>
      <c r="C448" s="11"/>
      <c r="D448" s="11" t="s">
        <v>3411</v>
      </c>
      <c r="E448" s="9" t="str">
        <f ca="1">IFERROR(__xludf.DUMMYFUNCTION("GOOGLETRANSLATE(B448,""zh"",""vi"")"),"Chiều rộng")</f>
        <v>Chiều rộng</v>
      </c>
      <c r="F448" s="35" t="s">
        <v>107</v>
      </c>
    </row>
    <row r="449" spans="1:6">
      <c r="A449" s="23">
        <v>448</v>
      </c>
      <c r="B449" s="11" t="s">
        <v>3412</v>
      </c>
      <c r="C449" s="11"/>
      <c r="D449" s="11" t="s">
        <v>3413</v>
      </c>
      <c r="E449" s="9" t="str">
        <f ca="1">IFERROR(__xludf.DUMMYFUNCTION("GOOGLETRANSLATE(B449,""zh"",""vi"")"),"rộng")</f>
        <v>rộng</v>
      </c>
      <c r="F449" s="35" t="s">
        <v>107</v>
      </c>
    </row>
    <row r="450" spans="1:6">
      <c r="A450" s="23">
        <v>449</v>
      </c>
      <c r="B450" s="11" t="s">
        <v>1991</v>
      </c>
      <c r="C450" s="11"/>
      <c r="D450" s="11" t="s">
        <v>1992</v>
      </c>
      <c r="E450" s="9" t="str">
        <f ca="1">IFERROR(__xludf.DUMMYFUNCTION("GOOGLETRANSLATE(B450,""zh"",""vi"")"),"nước khoáng")</f>
        <v>nước khoáng</v>
      </c>
      <c r="F450" s="35" t="s">
        <v>87</v>
      </c>
    </row>
    <row r="451" spans="1:6">
      <c r="A451" s="23">
        <v>450</v>
      </c>
      <c r="B451" s="11" t="s">
        <v>3414</v>
      </c>
      <c r="C451" s="11"/>
      <c r="D451" s="11" t="s">
        <v>3415</v>
      </c>
      <c r="E451" s="9" t="str">
        <f ca="1">IFERROR(__xludf.DUMMYFUNCTION("GOOGLETRANSLATE(B451,""zh"",""vi"")"),"mở rộng")</f>
        <v>mở rộng</v>
      </c>
      <c r="F451" s="35" t="s">
        <v>21</v>
      </c>
    </row>
    <row r="452" spans="1:6">
      <c r="A452" s="23">
        <v>451</v>
      </c>
      <c r="B452" s="11" t="s">
        <v>3416</v>
      </c>
      <c r="C452" s="11"/>
      <c r="D452" s="11" t="s">
        <v>3417</v>
      </c>
      <c r="E452" s="9" t="str">
        <f ca="1">IFERROR(__xludf.DUMMYFUNCTION("GOOGLETRANSLATE(B452,""zh"",""vi"")"),"Mở rộng")</f>
        <v>Mở rộng</v>
      </c>
      <c r="F452" s="35" t="s">
        <v>21</v>
      </c>
    </row>
    <row r="453" spans="1:6">
      <c r="A453" s="23">
        <v>452</v>
      </c>
      <c r="B453" s="11" t="s">
        <v>3418</v>
      </c>
      <c r="C453" s="11"/>
      <c r="D453" s="11" t="s">
        <v>3419</v>
      </c>
      <c r="E453" s="9" t="str">
        <f ca="1">IFERROR(__xludf.DUMMYFUNCTION("GOOGLETRANSLATE(B453,""zh"",""vi"")"),"dấu ngoặc")</f>
        <v>dấu ngoặc</v>
      </c>
      <c r="F453" s="35" t="s">
        <v>30</v>
      </c>
    </row>
    <row r="454" spans="1:6">
      <c r="A454" s="23">
        <v>453</v>
      </c>
      <c r="B454" s="11" t="s">
        <v>3420</v>
      </c>
      <c r="C454" s="11"/>
      <c r="D454" s="11" t="s">
        <v>3421</v>
      </c>
      <c r="E454" s="9" t="str">
        <f ca="1">IFERROR(__xludf.DUMMYFUNCTION("GOOGLETRANSLATE(B454,""zh"",""vi"")"),"Rác")</f>
        <v>Rác</v>
      </c>
      <c r="F454" s="35" t="s">
        <v>87</v>
      </c>
    </row>
    <row r="455" spans="1:6">
      <c r="A455" s="23">
        <v>454</v>
      </c>
      <c r="B455" s="11" t="s">
        <v>3422</v>
      </c>
      <c r="C455" s="11"/>
      <c r="D455" s="11" t="s">
        <v>3423</v>
      </c>
      <c r="E455" s="9" t="str">
        <f ca="1">IFERROR(__xludf.DUMMYFUNCTION("GOOGLETRANSLATE(B455,""zh"",""vi"")"),"Kéo mở")</f>
        <v>Kéo mở</v>
      </c>
      <c r="F455" s="35" t="s">
        <v>87</v>
      </c>
    </row>
    <row r="456" spans="1:6">
      <c r="A456" s="23">
        <v>455</v>
      </c>
      <c r="B456" s="11" t="s">
        <v>3424</v>
      </c>
      <c r="C456" s="11"/>
      <c r="D456" s="11" t="s">
        <v>3425</v>
      </c>
      <c r="E456" s="9" t="str">
        <f ca="1">IFERROR(__xludf.DUMMYFUNCTION("GOOGLETRANSLATE(B456,""zh"",""vi"")"),"nóng")</f>
        <v>nóng</v>
      </c>
      <c r="F456" s="35" t="s">
        <v>107</v>
      </c>
    </row>
    <row r="457" spans="1:6">
      <c r="A457" s="23">
        <v>456</v>
      </c>
      <c r="B457" s="11" t="s">
        <v>3426</v>
      </c>
      <c r="C457" s="11"/>
      <c r="D457" s="11" t="s">
        <v>3427</v>
      </c>
      <c r="E457" s="9" t="str">
        <f ca="1">IFERROR(__xludf.DUMMYFUNCTION("GOOGLETRANSLATE(B457,""zh"",""vi"")"),"Đã quá muộn")</f>
        <v>Đã quá muộn</v>
      </c>
      <c r="F457" s="35" t="s">
        <v>34</v>
      </c>
    </row>
    <row r="458" spans="1:6">
      <c r="A458" s="23">
        <v>457</v>
      </c>
      <c r="B458" s="11" t="s">
        <v>3428</v>
      </c>
      <c r="C458" s="11"/>
      <c r="D458" s="11" t="s">
        <v>3429</v>
      </c>
      <c r="E458" s="9" t="str">
        <f ca="1">IFERROR(__xludf.DUMMYFUNCTION("GOOGLETRANSLATE(B458,""zh"",""vi"")"),"Vẫn chưa quá muộn")</f>
        <v>Vẫn chưa quá muộn</v>
      </c>
      <c r="F458" s="35" t="s">
        <v>34</v>
      </c>
    </row>
    <row r="459" spans="1:6">
      <c r="A459" s="23">
        <v>458</v>
      </c>
      <c r="B459" s="11" t="s">
        <v>3430</v>
      </c>
      <c r="C459" s="11"/>
      <c r="D459" s="11" t="s">
        <v>3431</v>
      </c>
      <c r="E459" s="9" t="str">
        <f ca="1">IFERROR(__xludf.DUMMYFUNCTION("GOOGLETRANSLATE(B459,""zh"",""vi"")"),"nguồn")</f>
        <v>nguồn</v>
      </c>
      <c r="F459" s="35" t="s">
        <v>115</v>
      </c>
    </row>
    <row r="460" spans="1:6">
      <c r="A460" s="23">
        <v>459</v>
      </c>
      <c r="B460" s="11" t="s">
        <v>3432</v>
      </c>
      <c r="C460" s="11"/>
      <c r="D460" s="11" t="s">
        <v>3433</v>
      </c>
      <c r="E460" s="9" t="str">
        <f ca="1">IFERROR(__xludf.DUMMYFUNCTION("GOOGLETRANSLATE(B460,""zh"",""vi"")"),"chồng")</f>
        <v>chồng</v>
      </c>
      <c r="F460" s="35" t="s">
        <v>7</v>
      </c>
    </row>
    <row r="461" spans="1:6">
      <c r="A461" s="23">
        <v>460</v>
      </c>
      <c r="B461" s="11" t="s">
        <v>3434</v>
      </c>
      <c r="C461" s="11"/>
      <c r="D461" s="11" t="s">
        <v>3435</v>
      </c>
      <c r="E461" s="9" t="str">
        <f ca="1">IFERROR(__xludf.DUMMYFUNCTION("GOOGLETRANSLATE(B461,""zh"",""vi"")"),"quê hương")</f>
        <v>quê hương</v>
      </c>
      <c r="F461" s="35" t="s">
        <v>90</v>
      </c>
    </row>
    <row r="462" spans="1:6">
      <c r="A462" s="23">
        <v>461</v>
      </c>
      <c r="B462" s="11" t="s">
        <v>3436</v>
      </c>
      <c r="C462" s="11"/>
      <c r="D462" s="11" t="s">
        <v>3437</v>
      </c>
      <c r="E462" s="9" t="str">
        <f ca="1">IFERROR(__xludf.DUMMYFUNCTION("GOOGLETRANSLATE(B462,""zh"",""vi"")"),"Vợ")</f>
        <v>Vợ</v>
      </c>
      <c r="F462" s="35" t="s">
        <v>7</v>
      </c>
    </row>
    <row r="463" spans="1:6">
      <c r="A463" s="23">
        <v>462</v>
      </c>
      <c r="B463" s="11" t="s">
        <v>3438</v>
      </c>
      <c r="C463" s="11"/>
      <c r="D463" s="11" t="s">
        <v>3439</v>
      </c>
      <c r="E463" s="9" t="str">
        <f ca="1">IFERROR(__xludf.DUMMYFUNCTION("GOOGLETRANSLATE(B463,""zh"",""vi"")"),"trung thực")</f>
        <v>trung thực</v>
      </c>
      <c r="F463" s="35" t="s">
        <v>15</v>
      </c>
    </row>
    <row r="464" spans="1:6">
      <c r="A464" s="23">
        <v>463</v>
      </c>
      <c r="B464" s="11" t="s">
        <v>3440</v>
      </c>
      <c r="C464" s="11"/>
      <c r="D464" s="11" t="s">
        <v>3441</v>
      </c>
      <c r="E464" s="9" t="str">
        <f ca="1">IFERROR(__xludf.DUMMYFUNCTION("GOOGLETRANSLATE(B464,""zh"",""vi"")"),"vinh hạnh")</f>
        <v>vinh hạnh</v>
      </c>
      <c r="F464" s="35" t="s">
        <v>15</v>
      </c>
    </row>
    <row r="465" spans="1:6">
      <c r="A465" s="23">
        <v>464</v>
      </c>
      <c r="B465" s="11" t="s">
        <v>3442</v>
      </c>
      <c r="C465" s="11"/>
      <c r="D465" s="11" t="s">
        <v>964</v>
      </c>
      <c r="E465" s="9" t="str">
        <f ca="1">IFERROR(__xludf.DUMMYFUNCTION("GOOGLETRANSLATE(B465,""zh"",""vi"")"),"xé")</f>
        <v>xé</v>
      </c>
      <c r="F465" s="35" t="s">
        <v>15</v>
      </c>
    </row>
    <row r="466" spans="1:6">
      <c r="A466" s="23">
        <v>465</v>
      </c>
      <c r="B466" s="11" t="s">
        <v>3443</v>
      </c>
      <c r="C466" s="11"/>
      <c r="D466" s="11" t="s">
        <v>3444</v>
      </c>
      <c r="E466" s="9" t="str">
        <f ca="1">IFERROR(__xludf.DUMMYFUNCTION("GOOGLETRANSLATE(B466,""zh"",""vi"")"),"Nước mắt")</f>
        <v>Nước mắt</v>
      </c>
      <c r="F466" s="35" t="s">
        <v>15</v>
      </c>
    </row>
    <row r="467" spans="1:6">
      <c r="A467" s="23">
        <v>466</v>
      </c>
      <c r="B467" s="11" t="s">
        <v>3445</v>
      </c>
      <c r="C467" s="11"/>
      <c r="D467" s="11" t="s">
        <v>3446</v>
      </c>
      <c r="E467" s="9" t="str">
        <f ca="1">IFERROR(__xludf.DUMMYFUNCTION("GOOGLETRANSLATE(B467,""zh"",""vi"")"),"kiểu")</f>
        <v>kiểu</v>
      </c>
      <c r="F467" s="35" t="s">
        <v>107</v>
      </c>
    </row>
    <row r="468" spans="1:6">
      <c r="A468" s="23">
        <v>467</v>
      </c>
      <c r="B468" s="11" t="s">
        <v>3447</v>
      </c>
      <c r="C468" s="11"/>
      <c r="D468" s="11" t="s">
        <v>3448</v>
      </c>
      <c r="E468" s="9" t="str">
        <f ca="1">IFERROR(__xludf.DUMMYFUNCTION("GOOGLETRANSLATE(B468,""zh"",""vi"")"),"điềm tĩnh")</f>
        <v>điềm tĩnh</v>
      </c>
      <c r="F468" s="35" t="s">
        <v>15</v>
      </c>
    </row>
    <row r="469" spans="1:6">
      <c r="A469" s="23">
        <v>468</v>
      </c>
      <c r="B469" s="11" t="s">
        <v>3449</v>
      </c>
      <c r="C469" s="11"/>
      <c r="D469" s="11" t="s">
        <v>3450</v>
      </c>
      <c r="E469" s="9" t="str">
        <f ca="1">IFERROR(__xludf.DUMMYFUNCTION("GOOGLETRANSLATE(B469,""zh"",""vi"")"),"centimet")</f>
        <v>centimet</v>
      </c>
      <c r="F469" s="35" t="s">
        <v>21</v>
      </c>
    </row>
    <row r="470" spans="1:6">
      <c r="A470" s="23">
        <v>469</v>
      </c>
      <c r="B470" s="11" t="s">
        <v>3451</v>
      </c>
      <c r="C470" s="11"/>
      <c r="D470" s="11" t="s">
        <v>3452</v>
      </c>
      <c r="E470" s="9" t="str">
        <f ca="1">IFERROR(__xludf.DUMMYFUNCTION("GOOGLETRANSLATE(B470,""zh"",""vi"")"),"Không thể sống thiếu")</f>
        <v>Không thể sống thiếu</v>
      </c>
      <c r="F470" s="35" t="s">
        <v>15</v>
      </c>
    </row>
    <row r="471" spans="1:6">
      <c r="A471" s="23">
        <v>470</v>
      </c>
      <c r="B471" s="11" t="s">
        <v>3453</v>
      </c>
      <c r="C471" s="11"/>
      <c r="D471" s="11" t="s">
        <v>3454</v>
      </c>
      <c r="E471" s="9" t="str">
        <f ca="1">IFERROR(__xludf.DUMMYFUNCTION("GOOGLETRANSLATE(B471,""zh"",""vi"")"),"sức mạnh")</f>
        <v>sức mạnh</v>
      </c>
      <c r="F471" s="35" t="s">
        <v>64</v>
      </c>
    </row>
    <row r="472" spans="1:6">
      <c r="A472" s="23">
        <v>471</v>
      </c>
      <c r="B472" s="11" t="s">
        <v>2025</v>
      </c>
      <c r="C472" s="11"/>
      <c r="D472" s="11" t="s">
        <v>2026</v>
      </c>
      <c r="E472" s="9" t="str">
        <f ca="1">IFERROR(__xludf.DUMMYFUNCTION("GOOGLETRANSLATE(B472,""zh"",""vi"")"),"lịch sử")</f>
        <v>lịch sử</v>
      </c>
      <c r="F472" s="35" t="s">
        <v>150</v>
      </c>
    </row>
    <row r="473" spans="1:6">
      <c r="A473" s="23">
        <v>472</v>
      </c>
      <c r="B473" s="11" t="s">
        <v>3455</v>
      </c>
      <c r="C473" s="11"/>
      <c r="D473" s="11" t="s">
        <v>3456</v>
      </c>
      <c r="E473" s="9" t="str">
        <f ca="1">IFERROR(__xludf.DUMMYFUNCTION("GOOGLETRANSLATE(B473,""zh"",""vi"")"),"ngay lập tức")</f>
        <v>ngay lập tức</v>
      </c>
      <c r="F473" s="35" t="s">
        <v>34</v>
      </c>
    </row>
    <row r="474" spans="1:6">
      <c r="A474" s="23">
        <v>473</v>
      </c>
      <c r="B474" s="11" t="s">
        <v>3457</v>
      </c>
      <c r="C474" s="11"/>
      <c r="D474" s="11" t="s">
        <v>3458</v>
      </c>
      <c r="E474" s="9" t="str">
        <f ca="1">IFERROR(__xludf.DUMMYFUNCTION("GOOGLETRANSLATE(B474,""zh"",""vi"")"),"Quan tâm")</f>
        <v>Quan tâm</v>
      </c>
      <c r="F474" s="35" t="s">
        <v>115</v>
      </c>
    </row>
    <row r="475" spans="1:6">
      <c r="A475" s="23">
        <v>474</v>
      </c>
      <c r="B475" s="11" t="s">
        <v>3459</v>
      </c>
      <c r="C475" s="11"/>
      <c r="D475" s="11" t="s">
        <v>3460</v>
      </c>
      <c r="E475" s="9" t="str">
        <f ca="1">IFERROR(__xludf.DUMMYFUNCTION("GOOGLETRANSLATE(B475,""zh"",""vi"")"),"Lợi ích")</f>
        <v>Lợi ích</v>
      </c>
      <c r="F475" s="35" t="s">
        <v>115</v>
      </c>
    </row>
    <row r="476" spans="1:6">
      <c r="A476" s="23">
        <v>475</v>
      </c>
      <c r="B476" s="11" t="s">
        <v>3461</v>
      </c>
      <c r="C476" s="11"/>
      <c r="D476" s="11" t="s">
        <v>3462</v>
      </c>
      <c r="E476" s="9" t="str">
        <f ca="1">IFERROR(__xludf.DUMMYFUNCTION("GOOGLETRANSLATE(B476,""zh"",""vi"")"),"cả hai")</f>
        <v>cả hai</v>
      </c>
      <c r="F476" s="35" t="s">
        <v>21</v>
      </c>
    </row>
    <row r="477" spans="1:6">
      <c r="A477" s="23">
        <v>476</v>
      </c>
      <c r="B477" s="11" t="s">
        <v>3463</v>
      </c>
      <c r="C477" s="11"/>
      <c r="D477" s="11" t="s">
        <v>3464</v>
      </c>
      <c r="E477" s="9" t="str">
        <f ca="1">IFERROR(__xludf.DUMMYFUNCTION("GOOGLETRANSLATE(B477,""zh"",""vi"")"),"Tốt")</f>
        <v>Tốt</v>
      </c>
      <c r="F477" s="35" t="s">
        <v>107</v>
      </c>
    </row>
    <row r="478" spans="1:6">
      <c r="A478" s="23">
        <v>477</v>
      </c>
      <c r="B478" s="11" t="s">
        <v>3465</v>
      </c>
      <c r="C478" s="11"/>
      <c r="D478" s="11" t="s">
        <v>2005</v>
      </c>
      <c r="E478" s="9" t="str">
        <f ca="1">IFERROR(__xludf.DUMMYFUNCTION("GOOGLETRANSLATE(B478,""zh"",""vi"")"),"Số lượng")</f>
        <v>Số lượng</v>
      </c>
      <c r="F478" s="35" t="s">
        <v>21</v>
      </c>
    </row>
    <row r="479" spans="1:6">
      <c r="A479" s="23">
        <v>478</v>
      </c>
      <c r="B479" s="11" t="s">
        <v>3466</v>
      </c>
      <c r="C479" s="11"/>
      <c r="D479" s="11" t="s">
        <v>3467</v>
      </c>
      <c r="E479" s="9" t="str">
        <f ca="1">IFERROR(__xludf.DUMMYFUNCTION("GOOGLETRANSLATE(B479,""zh"",""vi"")"),"đồ ăn")</f>
        <v>đồ ăn</v>
      </c>
      <c r="F479" s="35" t="s">
        <v>87</v>
      </c>
    </row>
    <row r="480" spans="1:6">
      <c r="A480" s="23">
        <v>479</v>
      </c>
      <c r="B480" s="11" t="s">
        <v>3468</v>
      </c>
      <c r="C480" s="11"/>
      <c r="D480" s="11" t="s">
        <v>3469</v>
      </c>
      <c r="E480" s="9" t="str">
        <f ca="1">IFERROR(__xludf.DUMMYFUNCTION("GOOGLETRANSLATE(B480,""zh"",""vi"")"),"Cả hai phía")</f>
        <v>Cả hai phía</v>
      </c>
      <c r="F480" s="35" t="s">
        <v>60</v>
      </c>
    </row>
    <row r="481" spans="1:6">
      <c r="A481" s="23">
        <v>480</v>
      </c>
      <c r="B481" s="11" t="s">
        <v>3470</v>
      </c>
      <c r="C481" s="11"/>
      <c r="D481" s="11" t="s">
        <v>3471</v>
      </c>
      <c r="E481" s="9" t="str">
        <f ca="1">IFERROR(__xludf.DUMMYFUNCTION("GOOGLETRANSLATE(B481,""zh"",""vi"")"),"sự hồi phục")</f>
        <v>sự hồi phục</v>
      </c>
      <c r="F481" s="35" t="s">
        <v>64</v>
      </c>
    </row>
    <row r="482" spans="1:6">
      <c r="A482" s="23">
        <v>481</v>
      </c>
      <c r="B482" s="11" t="s">
        <v>3472</v>
      </c>
      <c r="C482" s="11"/>
      <c r="D482" s="11" t="s">
        <v>3473</v>
      </c>
      <c r="E482" s="9" t="str">
        <f ca="1">IFERROR(__xludf.DUMMYFUNCTION("GOOGLETRANSLATE(B482,""zh"",""vi"")"),"tuyệt vời")</f>
        <v>tuyệt vời</v>
      </c>
      <c r="F482" s="35" t="s">
        <v>107</v>
      </c>
    </row>
    <row r="483" spans="1:6">
      <c r="A483" s="23">
        <v>482</v>
      </c>
      <c r="B483" s="11" t="s">
        <v>2014</v>
      </c>
      <c r="C483" s="11"/>
      <c r="D483" s="11" t="s">
        <v>2015</v>
      </c>
      <c r="E483" s="9" t="str">
        <f ca="1">IFERROR(__xludf.DUMMYFUNCTION("GOOGLETRANSLATE(B483,""zh"",""vi"")"),"học hỏi")</f>
        <v>học hỏi</v>
      </c>
      <c r="F483" s="35" t="s">
        <v>150</v>
      </c>
    </row>
    <row r="484" spans="1:6">
      <c r="A484" s="23">
        <v>483</v>
      </c>
      <c r="B484" s="11" t="s">
        <v>3474</v>
      </c>
      <c r="C484" s="11"/>
      <c r="D484" s="11" t="s">
        <v>3475</v>
      </c>
      <c r="E484" s="9" t="str">
        <f ca="1">IFERROR(__xludf.DUMMYFUNCTION("GOOGLETRANSLATE(B484,""zh"",""vi"")"),"Danh sách")</f>
        <v>Danh sách</v>
      </c>
      <c r="F484" s="35" t="s">
        <v>21</v>
      </c>
    </row>
    <row r="485" spans="1:6">
      <c r="A485" s="23">
        <v>484</v>
      </c>
      <c r="B485" s="11" t="s">
        <v>3476</v>
      </c>
      <c r="C485" s="11"/>
      <c r="D485" s="11" t="s">
        <v>3477</v>
      </c>
      <c r="E485" s="9" t="str">
        <f ca="1">IFERROR(__xludf.DUMMYFUNCTION("GOOGLETRANSLATE(B485,""zh"",""vi"")"),"xe lửa")</f>
        <v>xe lửa</v>
      </c>
      <c r="F485" s="35" t="s">
        <v>94</v>
      </c>
    </row>
    <row r="486" spans="1:6">
      <c r="A486" s="23">
        <v>485</v>
      </c>
      <c r="B486" s="11" t="s">
        <v>3478</v>
      </c>
      <c r="C486" s="11"/>
      <c r="D486" s="11" t="s">
        <v>3479</v>
      </c>
      <c r="E486" s="9" t="str">
        <f ca="1">IFERROR(__xludf.DUMMYFUNCTION("GOOGLETRANSLATE(B486,""zh"",""vi"")"),"Đã liệt kê")</f>
        <v>Đã liệt kê</v>
      </c>
      <c r="F486" s="35" t="s">
        <v>30</v>
      </c>
    </row>
    <row r="487" spans="1:6">
      <c r="A487" s="23">
        <v>486</v>
      </c>
      <c r="B487" s="11" t="s">
        <v>3480</v>
      </c>
      <c r="C487" s="11"/>
      <c r="D487" s="11" t="s">
        <v>3481</v>
      </c>
      <c r="E487" s="9" t="str">
        <f ca="1">IFERROR(__xludf.DUMMYFUNCTION("GOOGLETRANSLATE(B487,""zh"",""vi"")"),"Được liệt kê là")</f>
        <v>Được liệt kê là</v>
      </c>
      <c r="F487" s="35" t="s">
        <v>30</v>
      </c>
    </row>
    <row r="488" spans="1:6">
      <c r="A488" s="23">
        <v>487</v>
      </c>
      <c r="B488" s="11" t="s">
        <v>3482</v>
      </c>
      <c r="C488" s="11"/>
      <c r="D488" s="11" t="s">
        <v>3483</v>
      </c>
      <c r="E488" s="9" t="str">
        <f ca="1">IFERROR(__xludf.DUMMYFUNCTION("GOOGLETRANSLATE(B488,""zh"",""vi"")"),"tạm thời")</f>
        <v>tạm thời</v>
      </c>
      <c r="F488" s="35" t="s">
        <v>34</v>
      </c>
    </row>
    <row r="489" spans="1:6">
      <c r="A489" s="23">
        <v>488</v>
      </c>
      <c r="B489" s="11" t="s">
        <v>3484</v>
      </c>
      <c r="C489" s="11"/>
      <c r="D489" s="11" t="s">
        <v>3485</v>
      </c>
      <c r="E489" s="9" t="str">
        <f ca="1">IFERROR(__xludf.DUMMYFUNCTION("GOOGLETRANSLATE(B489,""zh"",""vi"")"),"đồ ăn vặt")</f>
        <v>đồ ăn vặt</v>
      </c>
      <c r="F489" s="35" t="s">
        <v>87</v>
      </c>
    </row>
    <row r="490" spans="1:6">
      <c r="A490" s="23">
        <v>489</v>
      </c>
      <c r="B490" s="11" t="s">
        <v>3486</v>
      </c>
      <c r="C490" s="11"/>
      <c r="D490" s="11" t="s">
        <v>3487</v>
      </c>
      <c r="E490" s="9" t="str">
        <f ca="1">IFERROR(__xludf.DUMMYFUNCTION("GOOGLETRANSLATE(B490,""zh"",""vi"")"),"lây lan")</f>
        <v>lây lan</v>
      </c>
      <c r="F490" s="35" t="s">
        <v>87</v>
      </c>
    </row>
    <row r="491" spans="1:6">
      <c r="A491" s="23">
        <v>490</v>
      </c>
      <c r="B491" s="11" t="s">
        <v>2034</v>
      </c>
      <c r="C491" s="11"/>
      <c r="D491" s="11" t="s">
        <v>3488</v>
      </c>
      <c r="E491" s="9" t="str">
        <f ca="1">IFERROR(__xludf.DUMMYFUNCTION("GOOGLETRANSLATE(B491,""zh"",""vi"")"),"cầu thang")</f>
        <v>cầu thang</v>
      </c>
      <c r="F491" s="35" t="s">
        <v>90</v>
      </c>
    </row>
    <row r="492" spans="1:6">
      <c r="A492" s="23">
        <v>491</v>
      </c>
      <c r="B492" s="11" t="s">
        <v>3489</v>
      </c>
      <c r="C492" s="11"/>
      <c r="D492" s="11" t="s">
        <v>3490</v>
      </c>
      <c r="E492" s="9" t="str">
        <f ca="1">IFERROR(__xludf.DUMMYFUNCTION("GOOGLETRANSLATE(B492,""zh"",""vi"")"),"đất")</f>
        <v>đất</v>
      </c>
      <c r="F492" s="35" t="s">
        <v>203</v>
      </c>
    </row>
    <row r="493" spans="1:6">
      <c r="A493" s="23">
        <v>492</v>
      </c>
      <c r="B493" s="11" t="s">
        <v>3491</v>
      </c>
      <c r="C493" s="11"/>
      <c r="D493" s="11" t="s">
        <v>3492</v>
      </c>
      <c r="E493" s="9" t="str">
        <f ca="1">IFERROR(__xludf.DUMMYFUNCTION("GOOGLETRANSLATE(B493,""zh"",""vi"")"),"hết cái này đến cái khác")</f>
        <v>hết cái này đến cái khác</v>
      </c>
      <c r="F493" s="35" t="s">
        <v>30</v>
      </c>
    </row>
    <row r="494" spans="1:6">
      <c r="A494" s="23">
        <v>493</v>
      </c>
      <c r="B494" s="11" t="s">
        <v>3493</v>
      </c>
      <c r="C494" s="11"/>
      <c r="D494" s="11" t="s">
        <v>3494</v>
      </c>
      <c r="E494" s="9" t="str">
        <f ca="1">IFERROR(__xludf.DUMMYFUNCTION("GOOGLETRANSLATE(B494,""zh"",""vi"")"),"Nhập học")</f>
        <v>Nhập học</v>
      </c>
      <c r="F494" s="35" t="s">
        <v>115</v>
      </c>
    </row>
    <row r="495" spans="1:6">
      <c r="A495" s="23">
        <v>494</v>
      </c>
      <c r="B495" s="11" t="s">
        <v>3495</v>
      </c>
      <c r="C495" s="11"/>
      <c r="D495" s="11" t="s">
        <v>3496</v>
      </c>
      <c r="E495" s="9" t="str">
        <f ca="1">IFERROR(__xludf.DUMMYFUNCTION("GOOGLETRANSLATE(B495,""zh"",""vi"")"),"luật sư")</f>
        <v>luật sư</v>
      </c>
      <c r="F495" s="35" t="s">
        <v>115</v>
      </c>
    </row>
    <row r="496" spans="1:6">
      <c r="A496" s="23">
        <v>495</v>
      </c>
      <c r="B496" s="11" t="s">
        <v>3497</v>
      </c>
      <c r="C496" s="11"/>
      <c r="D496" s="11" t="s">
        <v>3498</v>
      </c>
      <c r="E496" s="9" t="str">
        <f ca="1">IFERROR(__xludf.DUMMYFUNCTION("GOOGLETRANSLATE(B496,""zh"",""vi"")"),"bánh xe")</f>
        <v>bánh xe</v>
      </c>
      <c r="F496" s="35" t="s">
        <v>94</v>
      </c>
    </row>
    <row r="497" spans="1:8">
      <c r="A497" s="23">
        <v>496</v>
      </c>
      <c r="B497" s="11" t="s">
        <v>3499</v>
      </c>
      <c r="C497" s="11"/>
      <c r="D497" s="11" t="s">
        <v>3500</v>
      </c>
      <c r="E497" s="9" t="str">
        <f ca="1">IFERROR(__xludf.DUMMYFUNCTION("GOOGLETRANSLATE(B497,""zh"",""vi"")"),"tàu thuyền")</f>
        <v>tàu thuyền</v>
      </c>
      <c r="F497" s="35" t="s">
        <v>94</v>
      </c>
    </row>
    <row r="498" spans="1:8">
      <c r="A498" s="23">
        <v>497</v>
      </c>
      <c r="B498" s="11" t="s">
        <v>3501</v>
      </c>
      <c r="C498" s="11"/>
      <c r="D498" s="11" t="s">
        <v>3502</v>
      </c>
      <c r="E498" s="9" t="str">
        <f ca="1">IFERROR(__xludf.DUMMYFUNCTION("GOOGLETRANSLATE(B498,""zh"",""vi"")"),"xe lăn")</f>
        <v>xe lăn</v>
      </c>
      <c r="F498" s="35" t="s">
        <v>94</v>
      </c>
    </row>
    <row r="499" spans="1:8">
      <c r="A499" s="23">
        <v>498</v>
      </c>
      <c r="B499" s="11" t="s">
        <v>3503</v>
      </c>
      <c r="C499" s="11"/>
      <c r="D499" s="11" t="s">
        <v>3504</v>
      </c>
      <c r="E499" s="9" t="str">
        <f ca="1">IFERROR(__xludf.DUMMYFUNCTION("GOOGLETRANSLATE(B499,""zh"",""vi"")"),"bánh xe")</f>
        <v>bánh xe</v>
      </c>
      <c r="F499" s="35" t="s">
        <v>94</v>
      </c>
    </row>
    <row r="500" spans="1:8">
      <c r="A500" s="23">
        <v>499</v>
      </c>
      <c r="B500" s="11" t="s">
        <v>3505</v>
      </c>
      <c r="C500" s="11"/>
      <c r="D500" s="11" t="s">
        <v>3506</v>
      </c>
      <c r="E500" s="9" t="str">
        <f ca="1">IFERROR(__xludf.DUMMYFUNCTION("GOOGLETRANSLATE(B500,""zh"",""vi"")"),"giấy")</f>
        <v>giấy</v>
      </c>
      <c r="F500" s="35" t="s">
        <v>115</v>
      </c>
    </row>
    <row r="501" spans="1:8">
      <c r="A501" s="23">
        <v>500</v>
      </c>
      <c r="B501" s="11" t="s">
        <v>3507</v>
      </c>
      <c r="C501" s="11"/>
      <c r="D501" s="11" t="s">
        <v>3508</v>
      </c>
      <c r="E501" s="9" t="str">
        <f ca="1">IFERROR(__xludf.DUMMYFUNCTION("GOOGLETRANSLATE(B501,""zh"",""vi"")"),"ngã")</f>
        <v>ngã</v>
      </c>
      <c r="F501" s="35" t="s">
        <v>203</v>
      </c>
      <c r="G501" s="33"/>
      <c r="H501" s="33"/>
    </row>
    <row r="502" spans="1:8">
      <c r="A502" s="23">
        <v>501</v>
      </c>
      <c r="B502" s="11" t="s">
        <v>3509</v>
      </c>
      <c r="C502" s="11"/>
      <c r="D502" s="11" t="s">
        <v>3510</v>
      </c>
      <c r="E502" s="9" t="str">
        <f ca="1">IFERROR(__xludf.DUMMYFUNCTION("GOOGLETRANSLATE(B502,""zh"",""vi"")"),"cái khăn lau")</f>
        <v>cái khăn lau</v>
      </c>
      <c r="F502" s="35" t="s">
        <v>48</v>
      </c>
    </row>
    <row r="503" spans="1:8">
      <c r="A503" s="23">
        <v>502</v>
      </c>
      <c r="B503" s="11" t="s">
        <v>3511</v>
      </c>
      <c r="C503" s="11"/>
      <c r="D503" s="11" t="s">
        <v>3512</v>
      </c>
      <c r="E503" s="9" t="str">
        <f ca="1">IFERROR(__xludf.DUMMYFUNCTION("GOOGLETRANSLATE(B503,""zh"",""vi"")"),"áo len")</f>
        <v>áo len</v>
      </c>
      <c r="F503" s="35" t="s">
        <v>48</v>
      </c>
    </row>
    <row r="504" spans="1:8">
      <c r="A504" s="23">
        <v>503</v>
      </c>
      <c r="B504" s="11" t="s">
        <v>3513</v>
      </c>
      <c r="C504" s="11"/>
      <c r="D504" s="11" t="s">
        <v>3514</v>
      </c>
      <c r="E504" s="9" t="str">
        <f ca="1">IFERROR(__xludf.DUMMYFUNCTION("GOOGLETRANSLATE(B504,""zh"",""vi"")"),"mũ")</f>
        <v>mũ</v>
      </c>
      <c r="F504" s="35" t="s">
        <v>48</v>
      </c>
    </row>
    <row r="505" spans="1:8">
      <c r="A505" s="23">
        <v>504</v>
      </c>
      <c r="B505" s="11" t="s">
        <v>3515</v>
      </c>
      <c r="C505" s="11"/>
      <c r="D505" s="11" t="s">
        <v>3516</v>
      </c>
      <c r="E505" s="9" t="str">
        <f ca="1">IFERROR(__xludf.DUMMYFUNCTION("GOOGLETRANSLATE(B505,""zh"",""vi"")"),"Đúng vậy")</f>
        <v>Đúng vậy</v>
      </c>
      <c r="F505" s="35" t="s">
        <v>30</v>
      </c>
    </row>
    <row r="506" spans="1:8">
      <c r="A506" s="23">
        <v>505</v>
      </c>
      <c r="B506" s="11" t="s">
        <v>3517</v>
      </c>
      <c r="C506" s="11"/>
      <c r="D506" s="11" t="s">
        <v>3518</v>
      </c>
      <c r="E506" s="9" t="str">
        <f ca="1">IFERROR(__xludf.DUMMYFUNCTION("GOOGLETRANSLATE(B506,""zh"",""vi"")"),"Không đời nào")</f>
        <v>Không đời nào</v>
      </c>
      <c r="F506" s="35" t="s">
        <v>30</v>
      </c>
    </row>
    <row r="507" spans="1:8">
      <c r="A507" s="23">
        <v>506</v>
      </c>
      <c r="B507" s="11" t="s">
        <v>3519</v>
      </c>
      <c r="C507" s="11"/>
      <c r="D507" s="11" t="s">
        <v>3520</v>
      </c>
      <c r="E507" s="9" t="str">
        <f ca="1">IFERROR(__xludf.DUMMYFUNCTION("GOOGLETRANSLATE(B507,""zh"",""vi"")"),"Không ngờ tới")</f>
        <v>Không ngờ tới</v>
      </c>
      <c r="F507" s="35" t="s">
        <v>150</v>
      </c>
    </row>
    <row r="508" spans="1:8">
      <c r="A508" s="23">
        <v>507</v>
      </c>
      <c r="B508" s="11" t="s">
        <v>3521</v>
      </c>
      <c r="C508" s="11"/>
      <c r="D508" s="11" t="s">
        <v>3522</v>
      </c>
      <c r="E508" s="9" t="str">
        <f ca="1">IFERROR(__xludf.DUMMYFUNCTION("GOOGLETRANSLATE(B508,""zh"",""vi"")"),"Đô la Mỹ")</f>
        <v>Đô la Mỹ</v>
      </c>
      <c r="F508" s="35" t="s">
        <v>115</v>
      </c>
    </row>
    <row r="509" spans="1:8">
      <c r="A509" s="23">
        <v>508</v>
      </c>
      <c r="B509" s="11" t="s">
        <v>3523</v>
      </c>
      <c r="C509" s="11"/>
      <c r="D509" s="11" t="s">
        <v>3524</v>
      </c>
      <c r="E509" s="9" t="str">
        <f ca="1">IFERROR(__xludf.DUMMYFUNCTION("GOOGLETRANSLATE(B509,""zh"",""vi"")"),"Sắc đẹp")</f>
        <v>Sắc đẹp</v>
      </c>
      <c r="F509" s="35" t="s">
        <v>7</v>
      </c>
    </row>
    <row r="510" spans="1:8">
      <c r="A510" s="23">
        <v>509</v>
      </c>
      <c r="B510" s="11" t="s">
        <v>3525</v>
      </c>
      <c r="C510" s="11"/>
      <c r="D510" s="11" t="s">
        <v>3526</v>
      </c>
      <c r="E510" s="9" t="str">
        <f ca="1">IFERROR(__xludf.DUMMYFUNCTION("GOOGLETRANSLATE(B510,""zh"",""vi"")"),"Mơ")</f>
        <v>Mơ</v>
      </c>
      <c r="F510" s="35" t="s">
        <v>150</v>
      </c>
    </row>
    <row r="511" spans="1:8">
      <c r="A511" s="23">
        <v>510</v>
      </c>
      <c r="B511" s="11" t="s">
        <v>3527</v>
      </c>
      <c r="C511" s="11"/>
      <c r="D511" s="11" t="s">
        <v>3528</v>
      </c>
      <c r="E511" s="9" t="str">
        <f ca="1">IFERROR(__xludf.DUMMYFUNCTION("GOOGLETRANSLATE(B511,""zh"",""vi"")"),"mơ")</f>
        <v>mơ</v>
      </c>
      <c r="F511" s="35" t="s">
        <v>150</v>
      </c>
    </row>
    <row r="512" spans="1:8">
      <c r="A512" s="23">
        <v>511</v>
      </c>
      <c r="B512" s="11" t="s">
        <v>3529</v>
      </c>
      <c r="C512" s="11"/>
      <c r="D512" s="11" t="s">
        <v>3530</v>
      </c>
      <c r="E512" s="9" t="str">
        <f ca="1">IFERROR(__xludf.DUMMYFUNCTION("GOOGLETRANSLATE(B512,""zh"",""vi"")"),"mơ")</f>
        <v>mơ</v>
      </c>
      <c r="F512" s="35" t="s">
        <v>15</v>
      </c>
    </row>
    <row r="513" spans="1:6">
      <c r="A513" s="23">
        <v>512</v>
      </c>
      <c r="B513" s="11" t="s">
        <v>3531</v>
      </c>
      <c r="C513" s="11"/>
      <c r="D513" s="11" t="s">
        <v>3532</v>
      </c>
      <c r="E513" s="9" t="str">
        <f ca="1">IFERROR(__xludf.DUMMYFUNCTION("GOOGLETRANSLATE(B513,""zh"",""vi"")"),"bí mật")</f>
        <v>bí mật</v>
      </c>
      <c r="F513" s="35" t="s">
        <v>107</v>
      </c>
    </row>
    <row r="514" spans="1:6">
      <c r="A514" s="23">
        <v>513</v>
      </c>
      <c r="B514" s="11" t="s">
        <v>3533</v>
      </c>
      <c r="C514" s="11"/>
      <c r="D514" s="11" t="s">
        <v>3534</v>
      </c>
      <c r="E514" s="9" t="str">
        <f ca="1">IFERROR(__xludf.DUMMYFUNCTION("GOOGLETRANSLATE(B514,""zh"",""vi"")"),"thư ký")</f>
        <v>thư ký</v>
      </c>
      <c r="F514" s="35" t="s">
        <v>115</v>
      </c>
    </row>
    <row r="515" spans="1:6">
      <c r="A515" s="23">
        <v>514</v>
      </c>
      <c r="B515" s="11" t="s">
        <v>3535</v>
      </c>
      <c r="C515" s="11"/>
      <c r="D515" s="11" t="s">
        <v>3536</v>
      </c>
      <c r="E515" s="9" t="str">
        <f ca="1">IFERROR(__xludf.DUMMYFUNCTION("GOOGLETRANSLATE(B515,""zh"",""vi"")"),"dày đặc")</f>
        <v>dày đặc</v>
      </c>
      <c r="F515" s="35" t="s">
        <v>107</v>
      </c>
    </row>
    <row r="516" spans="1:6">
      <c r="A516" s="23">
        <v>515</v>
      </c>
      <c r="B516" s="11" t="s">
        <v>3537</v>
      </c>
      <c r="C516" s="11"/>
      <c r="D516" s="11" t="s">
        <v>3538</v>
      </c>
      <c r="E516" s="9" t="str">
        <f ca="1">IFERROR(__xludf.DUMMYFUNCTION("GOOGLETRANSLATE(B516,""zh"",""vi"")"),"mật khẩu")</f>
        <v>mật khẩu</v>
      </c>
      <c r="F516" s="35" t="s">
        <v>48</v>
      </c>
    </row>
    <row r="517" spans="1:6">
      <c r="A517" s="23">
        <v>516</v>
      </c>
      <c r="B517" s="11" t="s">
        <v>3539</v>
      </c>
      <c r="C517" s="11"/>
      <c r="D517" s="11" t="s">
        <v>3540</v>
      </c>
      <c r="E517" s="9" t="str">
        <f ca="1">IFERROR(__xludf.DUMMYFUNCTION("GOOGLETRANSLATE(B517,""zh"",""vi"")"),"đóng")</f>
        <v>đóng</v>
      </c>
      <c r="F517" s="35" t="s">
        <v>107</v>
      </c>
    </row>
    <row r="518" spans="1:6">
      <c r="A518" s="23">
        <v>517</v>
      </c>
      <c r="B518" s="11" t="s">
        <v>3541</v>
      </c>
      <c r="C518" s="11"/>
      <c r="D518" s="11" t="s">
        <v>3542</v>
      </c>
      <c r="E518" s="9" t="str">
        <f ca="1">IFERROR(__xludf.DUMMYFUNCTION("GOOGLETRANSLATE(B518,""zh"",""vi"")"),"miễn phí")</f>
        <v>miễn phí</v>
      </c>
      <c r="F518" s="35" t="s">
        <v>115</v>
      </c>
    </row>
    <row r="519" spans="1:6">
      <c r="A519" s="23">
        <v>518</v>
      </c>
      <c r="B519" s="11" t="s">
        <v>3543</v>
      </c>
      <c r="C519" s="11"/>
      <c r="D519" s="11" t="s">
        <v>3544</v>
      </c>
      <c r="E519" s="9" t="str">
        <f ca="1">IFERROR(__xludf.DUMMYFUNCTION("GOOGLETRANSLATE(B519,""zh"",""vi"")"),"Đối diện")</f>
        <v>Đối diện</v>
      </c>
      <c r="F519" s="35" t="s">
        <v>15</v>
      </c>
    </row>
    <row r="520" spans="1:6">
      <c r="A520" s="23">
        <v>519</v>
      </c>
      <c r="B520" s="11" t="s">
        <v>3545</v>
      </c>
      <c r="C520" s="11"/>
      <c r="D520" s="11" t="s">
        <v>3546</v>
      </c>
      <c r="E520" s="9" t="str">
        <f ca="1">IFERROR(__xludf.DUMMYFUNCTION("GOOGLETRANSLATE(B520,""zh"",""vi"")"),"phỏng vấn")</f>
        <v>phỏng vấn</v>
      </c>
      <c r="F520" s="35" t="s">
        <v>115</v>
      </c>
    </row>
    <row r="521" spans="1:6">
      <c r="A521" s="23">
        <v>520</v>
      </c>
      <c r="B521" s="11" t="s">
        <v>3547</v>
      </c>
      <c r="C521" s="11"/>
      <c r="D521" s="11" t="s">
        <v>3548</v>
      </c>
      <c r="E521" s="9" t="str">
        <f ca="1">IFERROR(__xludf.DUMMYFUNCTION("GOOGLETRANSLATE(B521,""zh"",""vi"")"),"mô tả")</f>
        <v>mô tả</v>
      </c>
      <c r="F521" s="35" t="s">
        <v>150</v>
      </c>
    </row>
    <row r="522" spans="1:6">
      <c r="A522" s="23">
        <v>521</v>
      </c>
      <c r="B522" s="11" t="s">
        <v>3549</v>
      </c>
      <c r="C522" s="11"/>
      <c r="D522" s="11" t="s">
        <v>3550</v>
      </c>
      <c r="E522" s="9" t="str">
        <f ca="1">IFERROR(__xludf.DUMMYFUNCTION("GOOGLETRANSLATE(B522,""zh"",""vi"")"),"Sự miêu tả")</f>
        <v>Sự miêu tả</v>
      </c>
      <c r="F522" s="35" t="s">
        <v>150</v>
      </c>
    </row>
    <row r="523" spans="1:6">
      <c r="A523" s="23">
        <v>522</v>
      </c>
      <c r="B523" s="11" t="s">
        <v>3551</v>
      </c>
      <c r="C523" s="11"/>
      <c r="D523" s="11" t="s">
        <v>3552</v>
      </c>
      <c r="E523" s="9" t="str">
        <f ca="1">IFERROR(__xludf.DUMMYFUNCTION("GOOGLETRANSLATE(B523,""zh"",""vi"")"),"Tên thương hiệu")</f>
        <v>Tên thương hiệu</v>
      </c>
      <c r="F523" s="35" t="s">
        <v>48</v>
      </c>
    </row>
    <row r="524" spans="1:6">
      <c r="A524" s="23">
        <v>523</v>
      </c>
      <c r="B524" s="11" t="s">
        <v>3553</v>
      </c>
      <c r="C524" s="11"/>
      <c r="D524" s="11" t="s">
        <v>3554</v>
      </c>
      <c r="E524" s="9" t="str">
        <f ca="1">IFERROR(__xludf.DUMMYFUNCTION("GOOGLETRANSLATE(B524,""zh"",""vi"")"),"danh thiếp")</f>
        <v>danh thiếp</v>
      </c>
      <c r="F524" s="35" t="s">
        <v>48</v>
      </c>
    </row>
    <row r="525" spans="1:6">
      <c r="A525" s="23">
        <v>524</v>
      </c>
      <c r="B525" s="11" t="s">
        <v>2059</v>
      </c>
      <c r="C525" s="11"/>
      <c r="D525" s="11" t="s">
        <v>3555</v>
      </c>
      <c r="E525" s="9" t="str">
        <f ca="1">IFERROR(__xludf.DUMMYFUNCTION("GOOGLETRANSLATE(B525,""zh"",""vi"")"),"người nổi tiếng")</f>
        <v>người nổi tiếng</v>
      </c>
      <c r="F525" s="35" t="s">
        <v>7</v>
      </c>
    </row>
    <row r="526" spans="1:6">
      <c r="A526" s="23">
        <v>525</v>
      </c>
      <c r="B526" s="11" t="s">
        <v>3556</v>
      </c>
      <c r="C526" s="11"/>
      <c r="D526" s="11" t="s">
        <v>3557</v>
      </c>
      <c r="E526" s="9" t="str">
        <f ca="1">IFERROR(__xludf.DUMMYFUNCTION("GOOGLETRANSLATE(B526,""zh"",""vi"")"),"chạm")</f>
        <v>chạm</v>
      </c>
      <c r="F526" s="35" t="s">
        <v>64</v>
      </c>
    </row>
    <row r="527" spans="1:6">
      <c r="A527" s="23">
        <v>526</v>
      </c>
      <c r="B527" s="11" t="s">
        <v>3558</v>
      </c>
      <c r="C527" s="11"/>
      <c r="D527" s="11" t="s">
        <v>3559</v>
      </c>
      <c r="E527" s="9" t="str">
        <f ca="1">IFERROR(__xludf.DUMMYFUNCTION("GOOGLETRANSLATE(B527,""zh"",""vi"")"),"Người mẫu")</f>
        <v>Người mẫu</v>
      </c>
      <c r="F527" s="35" t="s">
        <v>115</v>
      </c>
    </row>
    <row r="528" spans="1:6">
      <c r="A528" s="23">
        <v>527</v>
      </c>
      <c r="B528" s="11" t="s">
        <v>3560</v>
      </c>
      <c r="C528" s="11"/>
      <c r="D528" s="11" t="s">
        <v>3561</v>
      </c>
      <c r="E528" s="9" t="str">
        <f ca="1">IFERROR(__xludf.DUMMYFUNCTION("GOOGLETRANSLATE(B528,""zh"",""vi"")"),"Người mẫu")</f>
        <v>Người mẫu</v>
      </c>
      <c r="F528" s="35" t="s">
        <v>48</v>
      </c>
    </row>
    <row r="529" spans="1:6">
      <c r="A529" s="23">
        <v>528</v>
      </c>
      <c r="B529" s="11" t="s">
        <v>3562</v>
      </c>
      <c r="C529" s="11"/>
      <c r="D529" s="11" t="s">
        <v>3563</v>
      </c>
      <c r="E529" s="9" t="str">
        <f ca="1">IFERROR(__xludf.DUMMYFUNCTION("GOOGLETRANSLATE(B529,""zh"",""vi"")"),"kết thúc")</f>
        <v>kết thúc</v>
      </c>
      <c r="F529" s="35" t="s">
        <v>34</v>
      </c>
    </row>
    <row r="530" spans="1:6">
      <c r="A530" s="23">
        <v>529</v>
      </c>
      <c r="B530" s="11" t="s">
        <v>3564</v>
      </c>
      <c r="C530" s="11"/>
      <c r="D530" s="11" t="s">
        <v>3565</v>
      </c>
      <c r="E530" s="9" t="str">
        <f ca="1">IFERROR(__xludf.DUMMYFUNCTION("GOOGLETRANSLATE(B530,""zh"",""vi"")"),"lặng lẽ")</f>
        <v>lặng lẽ</v>
      </c>
      <c r="F530" s="35" t="s">
        <v>107</v>
      </c>
    </row>
    <row r="531" spans="1:6">
      <c r="A531" s="23">
        <v>530</v>
      </c>
      <c r="B531" s="11" t="s">
        <v>3566</v>
      </c>
      <c r="C531" s="11"/>
      <c r="D531" s="11" t="s">
        <v>3567</v>
      </c>
      <c r="E531" s="9" t="str">
        <f ca="1">IFERROR(__xludf.DUMMYFUNCTION("GOOGLETRANSLATE(B531,""zh"",""vi"")"),"Ngay cả khi")</f>
        <v>Ngay cả khi</v>
      </c>
      <c r="F531" s="35" t="s">
        <v>30</v>
      </c>
    </row>
    <row r="532" spans="1:6">
      <c r="A532" s="23">
        <v>531</v>
      </c>
      <c r="B532" s="11" t="s">
        <v>356</v>
      </c>
      <c r="C532" s="11"/>
      <c r="D532" s="11" t="s">
        <v>357</v>
      </c>
      <c r="E532" s="9" t="str">
        <f ca="1">IFERROR(__xludf.DUMMYFUNCTION("GOOGLETRANSLATE(B532,""zh"",""vi"")"),"Ở đâu")</f>
        <v>Ở đâu</v>
      </c>
      <c r="F532" s="35" t="s">
        <v>30</v>
      </c>
    </row>
    <row r="533" spans="1:6">
      <c r="A533" s="23">
        <v>532</v>
      </c>
      <c r="B533" s="11" t="s">
        <v>3568</v>
      </c>
      <c r="C533" s="11"/>
      <c r="D533" s="11" t="s">
        <v>3569</v>
      </c>
      <c r="E533" s="9" t="str">
        <f ca="1">IFERROR(__xludf.DUMMYFUNCTION("GOOGLETRANSLATE(B533,""zh"",""vi"")"),"đàn ông và phụ nữ")</f>
        <v>đàn ông và phụ nữ</v>
      </c>
      <c r="F533" s="35" t="s">
        <v>7</v>
      </c>
    </row>
    <row r="534" spans="1:6">
      <c r="A534" s="23">
        <v>533</v>
      </c>
      <c r="B534" s="11" t="s">
        <v>3570</v>
      </c>
      <c r="C534" s="11"/>
      <c r="D534" s="11" t="s">
        <v>3571</v>
      </c>
      <c r="E534" s="9" t="str">
        <f ca="1">IFERROR(__xludf.DUMMYFUNCTION("GOOGLETRANSLATE(B534,""zh"",""vi"")"),"Đàn ông")</f>
        <v>Đàn ông</v>
      </c>
      <c r="F534" s="35" t="s">
        <v>7</v>
      </c>
    </row>
    <row r="535" spans="1:6">
      <c r="A535" s="23">
        <v>534</v>
      </c>
      <c r="B535" s="11" t="s">
        <v>3572</v>
      </c>
      <c r="C535" s="11"/>
      <c r="D535" s="11" t="s">
        <v>3573</v>
      </c>
      <c r="E535" s="9" t="str">
        <f ca="1">IFERROR(__xludf.DUMMYFUNCTION("GOOGLETRANSLATE(B535,""zh"",""vi"")"),"Không thể tránh khỏi")</f>
        <v>Không thể tránh khỏi</v>
      </c>
      <c r="F535" s="35" t="s">
        <v>30</v>
      </c>
    </row>
    <row r="536" spans="1:6">
      <c r="A536" s="23">
        <v>535</v>
      </c>
      <c r="B536" s="11" t="s">
        <v>3574</v>
      </c>
      <c r="C536" s="11"/>
      <c r="D536" s="11" t="s">
        <v>3575</v>
      </c>
      <c r="E536" s="9" t="str">
        <f ca="1">IFERROR(__xludf.DUMMYFUNCTION("GOOGLETRANSLATE(B536,""zh"",""vi"")"),"cái đầu")</f>
        <v>cái đầu</v>
      </c>
      <c r="F536" s="35" t="s">
        <v>64</v>
      </c>
    </row>
    <row r="537" spans="1:6">
      <c r="A537" s="23">
        <v>536</v>
      </c>
      <c r="B537" s="11" t="s">
        <v>3576</v>
      </c>
      <c r="C537" s="11"/>
      <c r="D537" s="11" t="s">
        <v>3577</v>
      </c>
      <c r="E537" s="9" t="str">
        <f ca="1">IFERROR(__xludf.DUMMYFUNCTION("GOOGLETRANSLATE(B537,""zh"",""vi"")"),"Ồn ào")</f>
        <v>Ồn ào</v>
      </c>
      <c r="F537" s="35" t="s">
        <v>15</v>
      </c>
    </row>
    <row r="538" spans="1:6">
      <c r="A538" s="23">
        <v>537</v>
      </c>
      <c r="B538" s="11" t="s">
        <v>3578</v>
      </c>
      <c r="C538" s="11"/>
      <c r="D538" s="11" t="s">
        <v>3579</v>
      </c>
      <c r="E538" s="9" t="str">
        <f ca="1">IFERROR(__xludf.DUMMYFUNCTION("GOOGLETRANSLATE(B538,""zh"",""vi"")"),"Đồng hồ báo thức")</f>
        <v>Đồng hồ báo thức</v>
      </c>
      <c r="F538" s="35" t="s">
        <v>48</v>
      </c>
    </row>
    <row r="539" spans="1:6">
      <c r="A539" s="23">
        <v>538</v>
      </c>
      <c r="B539" s="11" t="s">
        <v>3580</v>
      </c>
      <c r="C539" s="11"/>
      <c r="D539" s="11" t="s">
        <v>3581</v>
      </c>
      <c r="E539" s="9" t="str">
        <f ca="1">IFERROR(__xludf.DUMMYFUNCTION("GOOGLETRANSLATE(B539,""zh"",""vi"")"),"nội bộ")</f>
        <v>nội bộ</v>
      </c>
      <c r="F539" s="35" t="s">
        <v>60</v>
      </c>
    </row>
    <row r="540" spans="1:6">
      <c r="A540" s="23">
        <v>539</v>
      </c>
      <c r="B540" s="11" t="s">
        <v>3582</v>
      </c>
      <c r="C540" s="11"/>
      <c r="D540" s="11" t="s">
        <v>3583</v>
      </c>
      <c r="E540" s="9" t="str">
        <f ca="1">IFERROR(__xludf.DUMMYFUNCTION("GOOGLETRANSLATE(B540,""zh"",""vi"")"),"Nội khoa")</f>
        <v>Nội khoa</v>
      </c>
      <c r="F540" s="35" t="s">
        <v>64</v>
      </c>
    </row>
    <row r="541" spans="1:6">
      <c r="A541" s="23">
        <v>540</v>
      </c>
      <c r="B541" s="11" t="s">
        <v>3584</v>
      </c>
      <c r="C541" s="11"/>
      <c r="D541" s="11" t="s">
        <v>3585</v>
      </c>
      <c r="E541" s="9" t="str">
        <f ca="1">IFERROR(__xludf.DUMMYFUNCTION("GOOGLETRANSLATE(B541,""zh"",""vi"")"),"có khả năng")</f>
        <v>có khả năng</v>
      </c>
      <c r="F541" s="35" t="s">
        <v>107</v>
      </c>
    </row>
    <row r="542" spans="1:6">
      <c r="A542" s="23">
        <v>541</v>
      </c>
      <c r="B542" s="11" t="s">
        <v>3586</v>
      </c>
      <c r="C542" s="11"/>
      <c r="D542" s="11" t="s">
        <v>3587</v>
      </c>
      <c r="E542" s="9" t="str">
        <f ca="1">IFERROR(__xludf.DUMMYFUNCTION("GOOGLETRANSLATE(B542,""zh"",""vi"")"),"hoà bình")</f>
        <v>hoà bình</v>
      </c>
      <c r="F542" s="35" t="s">
        <v>107</v>
      </c>
    </row>
    <row r="543" spans="1:6">
      <c r="A543" s="23">
        <v>542</v>
      </c>
      <c r="B543" s="11" t="s">
        <v>3588</v>
      </c>
      <c r="C543" s="11"/>
      <c r="D543" s="11" t="s">
        <v>3589</v>
      </c>
      <c r="E543" s="9" t="str">
        <f ca="1">IFERROR(__xludf.DUMMYFUNCTION("GOOGLETRANSLATE(B543,""zh"",""vi"")"),"tập trung")</f>
        <v>tập trung</v>
      </c>
      <c r="F543" s="35" t="s">
        <v>107</v>
      </c>
    </row>
    <row r="544" spans="1:6">
      <c r="A544" s="23">
        <v>543</v>
      </c>
      <c r="B544" s="11" t="s">
        <v>407</v>
      </c>
      <c r="C544" s="11"/>
      <c r="D544" s="11" t="s">
        <v>408</v>
      </c>
      <c r="E544" s="9" t="str">
        <f ca="1">IFERROR(__xludf.DUMMYFUNCTION("GOOGLETRANSLATE(B544,""zh"",""vi"")"),"Cô")</f>
        <v>Cô</v>
      </c>
      <c r="F544" s="35" t="s">
        <v>7</v>
      </c>
    </row>
    <row r="545" spans="1:6">
      <c r="A545" s="23">
        <v>544</v>
      </c>
      <c r="B545" s="11" t="s">
        <v>3590</v>
      </c>
      <c r="C545" s="11"/>
      <c r="D545" s="11" t="s">
        <v>3591</v>
      </c>
      <c r="E545" s="9" t="str">
        <f ca="1">IFERROR(__xludf.DUMMYFUNCTION("GOOGLETRANSLATE(B545,""zh"",""vi"")"),"Sưởi ấm")</f>
        <v>Sưởi ấm</v>
      </c>
      <c r="F545" s="35" t="s">
        <v>48</v>
      </c>
    </row>
    <row r="546" spans="1:6">
      <c r="A546" s="23">
        <v>545</v>
      </c>
      <c r="B546" s="11" t="s">
        <v>2098</v>
      </c>
      <c r="C546" s="11"/>
      <c r="D546" s="11" t="s">
        <v>3592</v>
      </c>
      <c r="E546" s="9" t="str">
        <f ca="1">IFERROR(__xludf.DUMMYFUNCTION("GOOGLETRANSLATE(B546,""zh"",""vi"")"),"Ảnh chụp")</f>
        <v>Ảnh chụp</v>
      </c>
      <c r="F546" s="35" t="s">
        <v>87</v>
      </c>
    </row>
    <row r="547" spans="1:6">
      <c r="A547" s="23">
        <v>546</v>
      </c>
      <c r="B547" s="11" t="s">
        <v>3593</v>
      </c>
      <c r="C547" s="11"/>
      <c r="D547" s="11" t="s">
        <v>3594</v>
      </c>
      <c r="E547" s="9" t="str">
        <f ca="1">IFERROR(__xludf.DUMMYFUNCTION("GOOGLETRANSLATE(B547,""zh"",""vi"")"),"sắp xếp")</f>
        <v>sắp xếp</v>
      </c>
      <c r="F547" s="35" t="s">
        <v>87</v>
      </c>
    </row>
    <row r="548" spans="1:6">
      <c r="A548" s="23">
        <v>547</v>
      </c>
      <c r="B548" s="11" t="s">
        <v>3595</v>
      </c>
      <c r="C548" s="11"/>
      <c r="D548" s="11" t="s">
        <v>3596</v>
      </c>
      <c r="E548" s="9" t="str">
        <f ca="1">IFERROR(__xludf.DUMMYFUNCTION("GOOGLETRANSLATE(B548,""zh"",""vi"")"),"Thẻ")</f>
        <v>Thẻ</v>
      </c>
      <c r="F548" s="35" t="s">
        <v>48</v>
      </c>
    </row>
    <row r="549" spans="1:6">
      <c r="A549" s="23">
        <v>548</v>
      </c>
      <c r="B549" s="11" t="s">
        <v>3597</v>
      </c>
      <c r="C549" s="11"/>
      <c r="D549" s="11" t="s">
        <v>3598</v>
      </c>
      <c r="E549" s="9" t="str">
        <f ca="1">IFERROR(__xludf.DUMMYFUNCTION("GOOGLETRANSLATE(B549,""zh"",""vi"")"),"Đĩa (tên, số lượng)")</f>
        <v>Đĩa (tên, số lượng)</v>
      </c>
      <c r="F549" s="35" t="s">
        <v>48</v>
      </c>
    </row>
    <row r="550" spans="1:6">
      <c r="A550" s="23">
        <v>549</v>
      </c>
      <c r="B550" s="11" t="s">
        <v>2101</v>
      </c>
      <c r="C550" s="11"/>
      <c r="D550" s="11" t="s">
        <v>2102</v>
      </c>
      <c r="E550" s="9" t="str">
        <f ca="1">IFERROR(__xludf.DUMMYFUNCTION("GOOGLETRANSLATE(B550,""zh"",""vi"")"),"đĩa")</f>
        <v>đĩa</v>
      </c>
      <c r="F550" s="35" t="s">
        <v>48</v>
      </c>
    </row>
    <row r="551" spans="1:6">
      <c r="A551" s="23">
        <v>550</v>
      </c>
      <c r="B551" s="11" t="s">
        <v>3599</v>
      </c>
      <c r="C551" s="11"/>
      <c r="D551" s="11" t="s">
        <v>3600</v>
      </c>
      <c r="E551" s="9" t="str">
        <f ca="1">IFERROR(__xludf.DUMMYFUNCTION("GOOGLETRANSLATE(B551,""zh"",""vi"")"),"Mập")</f>
        <v>Mập</v>
      </c>
      <c r="F551" s="35" t="s">
        <v>7</v>
      </c>
    </row>
    <row r="552" spans="1:6">
      <c r="A552" s="23">
        <v>551</v>
      </c>
      <c r="B552" s="11" t="s">
        <v>3601</v>
      </c>
      <c r="C552" s="11"/>
      <c r="D552" s="11" t="s">
        <v>3602</v>
      </c>
      <c r="E552" s="9" t="str">
        <f ca="1">IFERROR(__xludf.DUMMYFUNCTION("GOOGLETRANSLATE(B552,""zh"",""vi"")"),"Đào tạo")</f>
        <v>Đào tạo</v>
      </c>
      <c r="F552" s="35" t="s">
        <v>115</v>
      </c>
    </row>
    <row r="553" spans="1:6">
      <c r="A553" s="23">
        <v>552</v>
      </c>
      <c r="B553" s="11" t="s">
        <v>3603</v>
      </c>
      <c r="C553" s="11"/>
      <c r="D553" s="11" t="s">
        <v>3604</v>
      </c>
      <c r="E553" s="9" t="str">
        <f ca="1">IFERROR(__xludf.DUMMYFUNCTION("GOOGLETRANSLATE(B553,""zh"",""vi"")"),"Khóa đào tạo")</f>
        <v>Khóa đào tạo</v>
      </c>
      <c r="F553" s="35" t="s">
        <v>115</v>
      </c>
    </row>
    <row r="554" spans="1:6">
      <c r="A554" s="23">
        <v>553</v>
      </c>
      <c r="B554" s="11" t="s">
        <v>3605</v>
      </c>
      <c r="C554" s="11"/>
      <c r="D554" s="11" t="s">
        <v>3606</v>
      </c>
      <c r="E554" s="9" t="str">
        <f ca="1">IFERROR(__xludf.DUMMYFUNCTION("GOOGLETRANSLATE(B554,""zh"",""vi"")"),"nuôi")</f>
        <v>nuôi</v>
      </c>
      <c r="F554" s="35" t="s">
        <v>115</v>
      </c>
    </row>
    <row r="555" spans="1:6">
      <c r="A555" s="23">
        <v>554</v>
      </c>
      <c r="B555" s="11" t="s">
        <v>3607</v>
      </c>
      <c r="C555" s="11"/>
      <c r="D555" s="11" t="s">
        <v>3608</v>
      </c>
      <c r="E555" s="9" t="str">
        <f ca="1">IFERROR(__xludf.DUMMYFUNCTION("GOOGLETRANSLATE(B555,""zh"",""vi"")"),"Trồng trọt")</f>
        <v>Trồng trọt</v>
      </c>
      <c r="F555" s="35" t="s">
        <v>115</v>
      </c>
    </row>
    <row r="556" spans="1:6">
      <c r="A556" s="23">
        <v>555</v>
      </c>
      <c r="B556" s="11" t="s">
        <v>3609</v>
      </c>
      <c r="C556" s="11"/>
      <c r="D556" s="11" t="s">
        <v>3610</v>
      </c>
      <c r="E556" s="9" t="str">
        <f ca="1">IFERROR(__xludf.DUMMYFUNCTION("GOOGLETRANSLATE(B556,""zh"",""vi"")"),"批 (động từ)")</f>
        <v>批 (động từ)</v>
      </c>
      <c r="F556" s="35" t="s">
        <v>115</v>
      </c>
    </row>
    <row r="557" spans="1:6">
      <c r="A557" s="23">
        <v>556</v>
      </c>
      <c r="B557" s="11" t="s">
        <v>3611</v>
      </c>
      <c r="C557" s="11"/>
      <c r="D557" s="11" t="s">
        <v>3610</v>
      </c>
      <c r="E557" s="9" t="str">
        <f ca="1">IFERROR(__xludf.DUMMYFUNCTION("GOOGLETRANSLATE(B557,""zh"",""vi"")"),"lô)")</f>
        <v>lô)</v>
      </c>
      <c r="F557" s="35" t="s">
        <v>21</v>
      </c>
    </row>
    <row r="558" spans="1:6">
      <c r="A558" s="23">
        <v>557</v>
      </c>
      <c r="B558" s="11" t="s">
        <v>3612</v>
      </c>
      <c r="C558" s="11"/>
      <c r="D558" s="11" t="s">
        <v>3613</v>
      </c>
      <c r="E558" s="9" t="str">
        <f ca="1">IFERROR(__xludf.DUMMYFUNCTION("GOOGLETRANSLATE(B558,""zh"",""vi"")"),"một chiều")</f>
        <v>một chiều</v>
      </c>
      <c r="F558" s="35" t="s">
        <v>150</v>
      </c>
    </row>
    <row r="559" spans="1:6">
      <c r="A559" s="23">
        <v>558</v>
      </c>
      <c r="B559" s="11" t="s">
        <v>3614</v>
      </c>
      <c r="C559" s="11"/>
      <c r="D559" s="11" t="s">
        <v>3615</v>
      </c>
      <c r="E559" s="9" t="str">
        <f ca="1">IFERROR(__xludf.DUMMYFUNCTION("GOOGLETRANSLATE(B559,""zh"",""vi"")"),"chất lượng")</f>
        <v>chất lượng</v>
      </c>
      <c r="F559" s="35" t="s">
        <v>107</v>
      </c>
    </row>
    <row r="560" spans="1:6">
      <c r="A560" s="23">
        <v>559</v>
      </c>
      <c r="B560" s="11" t="s">
        <v>3616</v>
      </c>
      <c r="C560" s="11"/>
      <c r="D560" s="11" t="s">
        <v>3617</v>
      </c>
      <c r="E560" s="9" t="str">
        <f ca="1">IFERROR(__xludf.DUMMYFUNCTION("GOOGLETRANSLATE(B560,""zh"",""vi"")"),"quảng trường")</f>
        <v>quảng trường</v>
      </c>
      <c r="F560" s="35" t="s">
        <v>21</v>
      </c>
    </row>
    <row r="561" spans="1:6">
      <c r="A561" s="23">
        <v>560</v>
      </c>
      <c r="B561" s="11" t="s">
        <v>3618</v>
      </c>
      <c r="C561" s="11"/>
      <c r="D561" s="11" t="s">
        <v>3619</v>
      </c>
      <c r="E561" s="9" t="str">
        <f ca="1">IFERROR(__xludf.DUMMYFUNCTION("GOOGLETRANSLATE(B561,""zh"",""vi"")"),"điềm tĩnh")</f>
        <v>điềm tĩnh</v>
      </c>
      <c r="F561" s="35" t="s">
        <v>15</v>
      </c>
    </row>
    <row r="562" spans="1:6">
      <c r="A562" s="23">
        <v>561</v>
      </c>
      <c r="B562" s="11" t="s">
        <v>3620</v>
      </c>
      <c r="C562" s="11"/>
      <c r="D562" s="11" t="s">
        <v>3621</v>
      </c>
      <c r="E562" s="9" t="str">
        <f ca="1">IFERROR(__xludf.DUMMYFUNCTION("GOOGLETRANSLATE(B562,""zh"",""vi"")"),"trung bình")</f>
        <v>trung bình</v>
      </c>
      <c r="F562" s="35" t="s">
        <v>21</v>
      </c>
    </row>
    <row r="563" spans="1:6">
      <c r="A563" s="23">
        <v>562</v>
      </c>
      <c r="B563" s="11" t="s">
        <v>3622</v>
      </c>
      <c r="C563" s="11"/>
      <c r="D563" s="11" t="s">
        <v>3623</v>
      </c>
      <c r="E563" s="9" t="str">
        <f ca="1">IFERROR(__xludf.DUMMYFUNCTION("GOOGLETRANSLATE(B563,""zh"",""vi"")"),"trơn tru")</f>
        <v>trơn tru</v>
      </c>
      <c r="F563" s="35" t="s">
        <v>107</v>
      </c>
    </row>
    <row r="564" spans="1:6">
      <c r="A564" s="23">
        <v>563</v>
      </c>
      <c r="B564" s="11" t="s">
        <v>3624</v>
      </c>
      <c r="C564" s="11"/>
      <c r="D564" s="11" t="s">
        <v>3625</v>
      </c>
      <c r="E564" s="9" t="str">
        <f ca="1">IFERROR(__xludf.DUMMYFUNCTION("GOOGLETRANSLATE(B564,""zh"",""vi"")"),"cấp bách")</f>
        <v>cấp bách</v>
      </c>
      <c r="F564" s="35" t="s">
        <v>15</v>
      </c>
    </row>
    <row r="565" spans="1:6">
      <c r="A565" s="23">
        <v>564</v>
      </c>
      <c r="B565" s="11" t="s">
        <v>3626</v>
      </c>
      <c r="C565" s="11"/>
      <c r="D565" s="11" t="s">
        <v>3627</v>
      </c>
      <c r="E565" s="9" t="str">
        <f ca="1">IFERROR(__xludf.DUMMYFUNCTION("GOOGLETRANSLATE(B565,""zh"",""vi"")"),"Phá sản")</f>
        <v>Phá sản</v>
      </c>
      <c r="F565" s="35" t="s">
        <v>115</v>
      </c>
    </row>
    <row r="566" spans="1:6">
      <c r="A566" s="23">
        <v>565</v>
      </c>
      <c r="B566" s="11" t="s">
        <v>1028</v>
      </c>
      <c r="C566" s="11"/>
      <c r="D566" s="11" t="s">
        <v>1029</v>
      </c>
      <c r="E566" s="9" t="str">
        <f ca="1">IFERROR(__xludf.DUMMYFUNCTION("GOOGLETRANSLATE(B566,""zh"",""vi"")"),"vợ")</f>
        <v>vợ</v>
      </c>
      <c r="F566" s="35" t="s">
        <v>7</v>
      </c>
    </row>
    <row r="567" spans="1:6">
      <c r="A567" s="23">
        <v>566</v>
      </c>
      <c r="B567" s="11" t="s">
        <v>3628</v>
      </c>
      <c r="C567" s="11"/>
      <c r="D567" s="11" t="s">
        <v>3629</v>
      </c>
      <c r="E567" s="9" t="str">
        <f ca="1">IFERROR(__xludf.DUMMYFUNCTION("GOOGLETRANSLATE(B567,""zh"",""vi"")"),"trông chờ")</f>
        <v>trông chờ</v>
      </c>
      <c r="F567" s="35" t="s">
        <v>15</v>
      </c>
    </row>
    <row r="568" spans="1:6">
      <c r="A568" s="23">
        <v>567</v>
      </c>
      <c r="B568" s="11" t="s">
        <v>3630</v>
      </c>
      <c r="C568" s="11"/>
      <c r="D568" s="11" t="s">
        <v>3631</v>
      </c>
      <c r="E568" s="9" t="str">
        <f ca="1">IFERROR(__xludf.DUMMYFUNCTION("GOOGLETRANSLATE(B568,""zh"",""vi"")"),"Giai đoạn")</f>
        <v>Giai đoạn</v>
      </c>
      <c r="F568" s="35" t="s">
        <v>34</v>
      </c>
    </row>
    <row r="569" spans="1:6">
      <c r="A569" s="23">
        <v>568</v>
      </c>
      <c r="B569" s="11" t="s">
        <v>3632</v>
      </c>
      <c r="C569" s="11"/>
      <c r="D569" s="11" t="s">
        <v>3633</v>
      </c>
      <c r="E569" s="9" t="str">
        <f ca="1">IFERROR(__xludf.DUMMYFUNCTION("GOOGLETRANSLATE(B569,""zh"",""vi"")"),"Bài kiểm tra cuối kỳ")</f>
        <v>Bài kiểm tra cuối kỳ</v>
      </c>
      <c r="F569" s="35" t="s">
        <v>34</v>
      </c>
    </row>
    <row r="570" spans="1:6">
      <c r="A570" s="23">
        <v>569</v>
      </c>
      <c r="B570" s="11" t="s">
        <v>3634</v>
      </c>
      <c r="C570" s="11"/>
      <c r="D570" s="11" t="s">
        <v>3635</v>
      </c>
      <c r="E570" s="9" t="str">
        <f ca="1">IFERROR(__xludf.DUMMYFUNCTION("GOOGLETRANSLATE(B570,""zh"",""vi"")"),"thuật ngữ")</f>
        <v>thuật ngữ</v>
      </c>
      <c r="F570" s="35" t="s">
        <v>34</v>
      </c>
    </row>
    <row r="571" spans="1:6">
      <c r="A571" s="23">
        <v>570</v>
      </c>
      <c r="B571" s="11" t="s">
        <v>3636</v>
      </c>
      <c r="C571" s="11"/>
      <c r="D571" s="11" t="s">
        <v>3637</v>
      </c>
      <c r="E571" s="9" t="str">
        <f ca="1">IFERROR(__xludf.DUMMYFUNCTION("GOOGLETRANSLATE(B571,""zh"",""vi"")"),"Giữa kỳ")</f>
        <v>Giữa kỳ</v>
      </c>
      <c r="F571" s="35" t="s">
        <v>34</v>
      </c>
    </row>
    <row r="572" spans="1:6">
      <c r="A572" s="23">
        <v>571</v>
      </c>
      <c r="B572" s="11" t="s">
        <v>3638</v>
      </c>
      <c r="C572" s="11"/>
      <c r="D572" s="11" t="s">
        <v>3639</v>
      </c>
      <c r="E572" s="9" t="str">
        <f ca="1">IFERROR(__xludf.DUMMYFUNCTION("GOOGLETRANSLATE(B572,""zh"",""vi"")"),"phần còn lại")</f>
        <v>phần còn lại</v>
      </c>
      <c r="F572" s="35" t="s">
        <v>30</v>
      </c>
    </row>
    <row r="573" spans="1:6">
      <c r="A573" s="23">
        <v>572</v>
      </c>
      <c r="B573" s="11" t="s">
        <v>3640</v>
      </c>
      <c r="C573" s="11"/>
      <c r="D573" s="11" t="s">
        <v>3641</v>
      </c>
      <c r="E573" s="9" t="str">
        <f ca="1">IFERROR(__xludf.DUMMYFUNCTION("GOOGLETRANSLATE(B573,""zh"",""vi"")"),"doanh nghiệp")</f>
        <v>doanh nghiệp</v>
      </c>
      <c r="F573" s="35" t="s">
        <v>115</v>
      </c>
    </row>
    <row r="574" spans="1:6">
      <c r="A574" s="23">
        <v>573</v>
      </c>
      <c r="B574" s="11" t="s">
        <v>3642</v>
      </c>
      <c r="C574" s="11"/>
      <c r="D574" s="11" t="s">
        <v>3643</v>
      </c>
      <c r="E574" s="9" t="str">
        <f ca="1">IFERROR(__xludf.DUMMYFUNCTION("GOOGLETRANSLATE(B574,""zh"",""vi"")"),"bóng bay")</f>
        <v>bóng bay</v>
      </c>
      <c r="F574" s="35" t="s">
        <v>48</v>
      </c>
    </row>
    <row r="575" spans="1:6">
      <c r="A575" s="23">
        <v>574</v>
      </c>
      <c r="B575" s="11" t="s">
        <v>3644</v>
      </c>
      <c r="C575" s="11"/>
      <c r="D575" s="11" t="s">
        <v>3645</v>
      </c>
      <c r="E575" s="9" t="str">
        <f ca="1">IFERROR(__xludf.DUMMYFUNCTION("GOOGLETRANSLATE(B575,""zh"",""vi"")"),"nước ngọt")</f>
        <v>nước ngọt</v>
      </c>
      <c r="F575" s="35" t="s">
        <v>87</v>
      </c>
    </row>
    <row r="576" spans="1:6">
      <c r="A576" s="23">
        <v>575</v>
      </c>
      <c r="B576" s="11" t="s">
        <v>3646</v>
      </c>
      <c r="C576" s="11"/>
      <c r="D576" s="11" t="s">
        <v>3647</v>
      </c>
      <c r="E576" s="9" t="str">
        <f ca="1">IFERROR(__xludf.DUMMYFUNCTION("GOOGLETRANSLATE(B576,""zh"",""vi"")"),"xăng")</f>
        <v>xăng</v>
      </c>
      <c r="F576" s="35" t="s">
        <v>94</v>
      </c>
    </row>
    <row r="577" spans="1:6">
      <c r="A577" s="23">
        <v>576</v>
      </c>
      <c r="B577" s="11" t="s">
        <v>3648</v>
      </c>
      <c r="C577" s="11"/>
      <c r="D577" s="11" t="s">
        <v>3649</v>
      </c>
      <c r="E577" s="9" t="str">
        <f ca="1">IFERROR(__xludf.DUMMYFUNCTION("GOOGLETRANSLATE(B577,""zh"",""vi"")"),"cơ quan")</f>
        <v>cơ quan</v>
      </c>
      <c r="F577" s="35" t="s">
        <v>64</v>
      </c>
    </row>
    <row r="578" spans="1:6">
      <c r="A578" s="23">
        <v>577</v>
      </c>
      <c r="B578" s="11" t="s">
        <v>3650</v>
      </c>
      <c r="C578" s="11"/>
      <c r="D578" s="11" t="s">
        <v>3651</v>
      </c>
      <c r="E578" s="9" t="str">
        <f ca="1">IFERROR(__xludf.DUMMYFUNCTION("GOOGLETRANSLATE(B578,""zh"",""vi"")"),"Đằng trước")</f>
        <v>Đằng trước</v>
      </c>
      <c r="F578" s="35" t="s">
        <v>60</v>
      </c>
    </row>
    <row r="579" spans="1:6">
      <c r="A579" s="23">
        <v>578</v>
      </c>
      <c r="B579" s="11" t="s">
        <v>3652</v>
      </c>
      <c r="C579" s="11"/>
      <c r="D579" s="11" t="s">
        <v>3653</v>
      </c>
      <c r="E579" s="9" t="str">
        <f ca="1">IFERROR(__xludf.DUMMYFUNCTION("GOOGLETRANSLATE(B579,""zh"",""vi"")"),"tương lai")</f>
        <v>tương lai</v>
      </c>
      <c r="F579" s="35" t="s">
        <v>115</v>
      </c>
    </row>
    <row r="580" spans="1:6">
      <c r="A580" s="23">
        <v>579</v>
      </c>
      <c r="B580" s="11" t="s">
        <v>3654</v>
      </c>
      <c r="C580" s="11"/>
      <c r="D580" s="11" t="s">
        <v>3655</v>
      </c>
      <c r="E580" s="9" t="str">
        <f ca="1">IFERROR(__xludf.DUMMYFUNCTION("GOOGLETRANSLATE(B580,""zh"",""vi"")"),"nông")</f>
        <v>nông</v>
      </c>
      <c r="F580" s="35" t="s">
        <v>107</v>
      </c>
    </row>
    <row r="581" spans="1:6">
      <c r="A581" s="23">
        <v>580</v>
      </c>
      <c r="B581" s="11" t="s">
        <v>3656</v>
      </c>
      <c r="C581" s="11"/>
      <c r="D581" s="11" t="s">
        <v>3657</v>
      </c>
      <c r="E581" s="9" t="str">
        <f ca="1">IFERROR(__xludf.DUMMYFUNCTION("GOOGLETRANSLATE(B581,""zh"",""vi"")"),"sôcôla")</f>
        <v>sôcôla</v>
      </c>
      <c r="F581" s="35" t="s">
        <v>87</v>
      </c>
    </row>
    <row r="582" spans="1:6">
      <c r="A582" s="23">
        <v>581</v>
      </c>
      <c r="B582" s="11" t="s">
        <v>3658</v>
      </c>
      <c r="C582" s="11"/>
      <c r="D582" s="11" t="s">
        <v>3659</v>
      </c>
      <c r="E582" s="9" t="str">
        <f ca="1">IFERROR(__xludf.DUMMYFUNCTION("GOOGLETRANSLATE(B582,""zh"",""vi"")"),"cắt")</f>
        <v>cắt</v>
      </c>
      <c r="F582" s="35" t="s">
        <v>87</v>
      </c>
    </row>
    <row r="583" spans="1:6">
      <c r="A583" s="23">
        <v>582</v>
      </c>
      <c r="B583" s="11" t="s">
        <v>3660</v>
      </c>
      <c r="C583" s="11"/>
      <c r="D583" s="11" t="s">
        <v>3661</v>
      </c>
      <c r="E583" s="9" t="str">
        <f ca="1">IFERROR(__xludf.DUMMYFUNCTION("GOOGLETRANSLATE(B583,""zh"",""vi"")"),"Thân mến")</f>
        <v>Thân mến</v>
      </c>
      <c r="F583" s="35" t="s">
        <v>15</v>
      </c>
    </row>
    <row r="584" spans="1:6">
      <c r="A584" s="23">
        <v>583</v>
      </c>
      <c r="B584" s="11" t="s">
        <v>3662</v>
      </c>
      <c r="C584" s="11"/>
      <c r="D584" s="11" t="s">
        <v>3663</v>
      </c>
      <c r="E584" s="9" t="str">
        <f ca="1">IFERROR(__xludf.DUMMYFUNCTION("GOOGLETRANSLATE(B584,""zh"",""vi"")"),"đóng")</f>
        <v>đóng</v>
      </c>
      <c r="F584" s="35" t="s">
        <v>15</v>
      </c>
    </row>
    <row r="585" spans="1:6">
      <c r="A585" s="23">
        <v>584</v>
      </c>
      <c r="B585" s="11" t="s">
        <v>3664</v>
      </c>
      <c r="C585" s="11"/>
      <c r="D585" s="11" t="s">
        <v>3665</v>
      </c>
      <c r="E585" s="9" t="str">
        <f ca="1">IFERROR(__xludf.DUMMYFUNCTION("GOOGLETRANSLATE(B585,""zh"",""vi"")"),"thiếu niên")</f>
        <v>thiếu niên</v>
      </c>
      <c r="F585" s="35" t="s">
        <v>34</v>
      </c>
    </row>
    <row r="586" spans="1:6">
      <c r="A586" s="23">
        <v>585</v>
      </c>
      <c r="B586" s="11" t="s">
        <v>3666</v>
      </c>
      <c r="C586" s="11"/>
      <c r="D586" s="11" t="s">
        <v>3667</v>
      </c>
      <c r="E586" s="9" t="str">
        <f ca="1">IFERROR(__xludf.DUMMYFUNCTION("GOOGLETRANSLATE(B586,""zh"",""vi"")"),"dễ")</f>
        <v>dễ</v>
      </c>
      <c r="F586" s="35" t="s">
        <v>15</v>
      </c>
    </row>
    <row r="587" spans="1:6">
      <c r="A587" s="23">
        <v>586</v>
      </c>
      <c r="B587" s="11" t="s">
        <v>3668</v>
      </c>
      <c r="C587" s="11"/>
      <c r="D587" s="11" t="s">
        <v>3669</v>
      </c>
      <c r="E587" s="9" t="str">
        <f ca="1">IFERROR(__xludf.DUMMYFUNCTION("GOOGLETRANSLATE(B587,""zh"",""vi"")"),"một cách dễ dàng")</f>
        <v>một cách dễ dàng</v>
      </c>
      <c r="F587" s="35" t="s">
        <v>107</v>
      </c>
    </row>
    <row r="588" spans="1:6">
      <c r="A588" s="23">
        <v>587</v>
      </c>
      <c r="B588" s="11" t="s">
        <v>3670</v>
      </c>
      <c r="C588" s="11"/>
      <c r="D588" s="11" t="s">
        <v>3671</v>
      </c>
      <c r="E588" s="9" t="str">
        <f ca="1">IFERROR(__xludf.DUMMYFUNCTION("GOOGLETRANSLATE(B588,""zh"",""vi"")"),"tỉnh táo hoàn toàn")</f>
        <v>tỉnh táo hoàn toàn</v>
      </c>
      <c r="F588" s="35" t="s">
        <v>64</v>
      </c>
    </row>
    <row r="589" spans="1:6">
      <c r="A589" s="23">
        <v>588</v>
      </c>
      <c r="B589" s="11" t="s">
        <v>3672</v>
      </c>
      <c r="C589" s="11"/>
      <c r="D589" s="11" t="s">
        <v>3673</v>
      </c>
      <c r="E589" s="9" t="str">
        <f ca="1">IFERROR(__xludf.DUMMYFUNCTION("GOOGLETRANSLATE(B589,""zh"",""vi"")"),"bối cảnh")</f>
        <v>bối cảnh</v>
      </c>
      <c r="F589" s="35" t="s">
        <v>150</v>
      </c>
    </row>
    <row r="590" spans="1:6">
      <c r="A590" s="23">
        <v>589</v>
      </c>
      <c r="B590" s="11" t="s">
        <v>3674</v>
      </c>
      <c r="C590" s="11"/>
      <c r="D590" s="11" t="s">
        <v>3675</v>
      </c>
      <c r="E590" s="9" t="str">
        <f ca="1">IFERROR(__xludf.DUMMYFUNCTION("GOOGLETRANSLATE(B590,""zh"",""vi"")"),"nghèo")</f>
        <v>nghèo</v>
      </c>
      <c r="F590" s="35" t="s">
        <v>107</v>
      </c>
    </row>
    <row r="591" spans="1:6">
      <c r="A591" s="23">
        <v>590</v>
      </c>
      <c r="B591" s="11" t="s">
        <v>3676</v>
      </c>
      <c r="C591" s="11"/>
      <c r="D591" s="11" t="s">
        <v>3677</v>
      </c>
      <c r="E591" s="9" t="str">
        <f ca="1">IFERROR(__xludf.DUMMYFUNCTION("GOOGLETRANSLATE(B591,""zh"",""vi"")"),"người nghèo")</f>
        <v>người nghèo</v>
      </c>
      <c r="F591" s="35" t="s">
        <v>7</v>
      </c>
    </row>
    <row r="592" spans="1:6">
      <c r="A592" s="23">
        <v>591</v>
      </c>
      <c r="B592" s="11" t="s">
        <v>3678</v>
      </c>
      <c r="C592" s="11"/>
      <c r="D592" s="11" t="s">
        <v>3679</v>
      </c>
      <c r="E592" s="9" t="str">
        <f ca="1">IFERROR(__xludf.DUMMYFUNCTION("GOOGLETRANSLATE(B592,""zh"",""vi"")"),"mùa thu")</f>
        <v>mùa thu</v>
      </c>
      <c r="F592" s="35" t="s">
        <v>34</v>
      </c>
    </row>
    <row r="593" spans="1:6">
      <c r="A593" s="23">
        <v>592</v>
      </c>
      <c r="B593" s="11" t="s">
        <v>3680</v>
      </c>
      <c r="C593" s="11"/>
      <c r="D593" s="11" t="s">
        <v>3681</v>
      </c>
      <c r="E593" s="9" t="str">
        <f ca="1">IFERROR(__xludf.DUMMYFUNCTION("GOOGLETRANSLATE(B593,""zh"",""vi"")"),"xu hướng")</f>
        <v>xu hướng</v>
      </c>
      <c r="F593" s="35" t="s">
        <v>150</v>
      </c>
    </row>
    <row r="594" spans="1:6">
      <c r="A594" s="23">
        <v>593</v>
      </c>
      <c r="B594" s="11" t="s">
        <v>3682</v>
      </c>
      <c r="C594" s="11"/>
      <c r="D594" s="11" t="s">
        <v>3683</v>
      </c>
      <c r="E594" s="9" t="str">
        <f ca="1">IFERROR(__xludf.DUMMYFUNCTION("GOOGLETRANSLATE(B594,""zh"",""vi"")"),"khóa")</f>
        <v>khóa</v>
      </c>
      <c r="F594" s="35" t="s">
        <v>48</v>
      </c>
    </row>
    <row r="595" spans="1:6">
      <c r="A595" s="23">
        <v>594</v>
      </c>
      <c r="B595" s="11" t="s">
        <v>3684</v>
      </c>
      <c r="C595" s="11"/>
      <c r="D595" s="11" t="s">
        <v>3685</v>
      </c>
      <c r="E595" s="9" t="str">
        <f ca="1">IFERROR(__xludf.DUMMYFUNCTION("GOOGLETRANSLATE(B595,""zh"",""vi"")"),"Phải")</f>
        <v>Phải</v>
      </c>
      <c r="F595" s="35" t="s">
        <v>115</v>
      </c>
    </row>
    <row r="596" spans="1:6">
      <c r="A596" s="23">
        <v>595</v>
      </c>
      <c r="B596" s="11" t="s">
        <v>3686</v>
      </c>
      <c r="C596" s="11"/>
      <c r="D596" s="11" t="s">
        <v>3687</v>
      </c>
      <c r="E596" s="9" t="str">
        <f ca="1">IFERROR(__xludf.DUMMYFUNCTION("GOOGLETRANSLATE(B596,""zh"",""vi"")"),"Nhưng")</f>
        <v>Nhưng</v>
      </c>
      <c r="F596" s="35" t="s">
        <v>30</v>
      </c>
    </row>
    <row r="597" spans="1:6">
      <c r="A597" s="23">
        <v>596</v>
      </c>
      <c r="B597" s="11" t="s">
        <v>3688</v>
      </c>
      <c r="C597" s="11"/>
      <c r="D597" s="11" t="s">
        <v>3689</v>
      </c>
      <c r="E597" s="9" t="str">
        <f ca="1">IFERROR(__xludf.DUMMYFUNCTION("GOOGLETRANSLATE(B597,""zh"",""vi"")"),"xác nhận")</f>
        <v>xác nhận</v>
      </c>
      <c r="F597" s="35" t="s">
        <v>150</v>
      </c>
    </row>
    <row r="598" spans="1:6">
      <c r="A598" s="23">
        <v>597</v>
      </c>
      <c r="B598" s="11" t="s">
        <v>3690</v>
      </c>
      <c r="C598" s="11"/>
      <c r="D598" s="11" t="s">
        <v>3691</v>
      </c>
      <c r="E598" s="9" t="str">
        <f ca="1">IFERROR(__xludf.DUMMYFUNCTION("GOOGLETRANSLATE(B598,""zh"",""vi"")"),"Tuy nhiên")</f>
        <v>Tuy nhiên</v>
      </c>
      <c r="F598" s="35" t="s">
        <v>30</v>
      </c>
    </row>
    <row r="599" spans="1:6">
      <c r="A599" s="23">
        <v>598</v>
      </c>
      <c r="B599" s="11" t="s">
        <v>3692</v>
      </c>
      <c r="C599" s="11"/>
      <c r="D599" s="11" t="s">
        <v>3693</v>
      </c>
      <c r="E599" s="9" t="str">
        <f ca="1">IFERROR(__xludf.DUMMYFUNCTION("GOOGLETRANSLATE(B599,""zh"",""vi"")"),"nhiên liệu")</f>
        <v>nhiên liệu</v>
      </c>
      <c r="F599" s="35" t="s">
        <v>203</v>
      </c>
    </row>
    <row r="600" spans="1:6">
      <c r="A600" s="23">
        <v>599</v>
      </c>
      <c r="B600" s="11" t="s">
        <v>3694</v>
      </c>
      <c r="C600" s="11"/>
      <c r="D600" s="11" t="s">
        <v>3695</v>
      </c>
      <c r="E600" s="9" t="str">
        <f ca="1">IFERROR(__xludf.DUMMYFUNCTION("GOOGLETRANSLATE(B600,""zh"",""vi"")"),"sự cháy")</f>
        <v>sự cháy</v>
      </c>
      <c r="F600" s="35" t="s">
        <v>203</v>
      </c>
    </row>
    <row r="601" spans="1:6">
      <c r="A601" s="23">
        <v>600</v>
      </c>
      <c r="B601" s="11" t="s">
        <v>3696</v>
      </c>
      <c r="C601" s="11"/>
      <c r="D601" s="11" t="s">
        <v>3697</v>
      </c>
      <c r="E601" s="9" t="str">
        <f ca="1">IFERROR(__xludf.DUMMYFUNCTION("GOOGLETRANSLATE(B601,""zh"",""vi"")"),"sống động")</f>
        <v>sống động</v>
      </c>
      <c r="F601" s="35" t="s">
        <v>107</v>
      </c>
    </row>
    <row r="602" spans="1:6">
      <c r="A602" s="23">
        <v>601</v>
      </c>
      <c r="B602" s="11" t="s">
        <v>3698</v>
      </c>
      <c r="C602" s="11"/>
      <c r="D602" s="11" t="s">
        <v>3699</v>
      </c>
      <c r="E602" s="9" t="str">
        <f ca="1">IFERROR(__xludf.DUMMYFUNCTION("GOOGLETRANSLATE(B602,""zh"",""vi"")"),"nhiệt tình")</f>
        <v>nhiệt tình</v>
      </c>
      <c r="F602" s="35" t="s">
        <v>15</v>
      </c>
    </row>
    <row r="603" spans="1:6">
      <c r="A603" s="23">
        <v>602</v>
      </c>
      <c r="B603" s="11" t="s">
        <v>3700</v>
      </c>
      <c r="C603" s="11"/>
      <c r="D603" s="11" t="s">
        <v>3701</v>
      </c>
      <c r="E603" s="9" t="str">
        <f ca="1">IFERROR(__xludf.DUMMYFUNCTION("GOOGLETRANSLATE(B603,""zh"",""vi"")"),"những người khác")</f>
        <v>những người khác</v>
      </c>
      <c r="F603" s="35" t="s">
        <v>7</v>
      </c>
    </row>
    <row r="604" spans="1:6">
      <c r="A604" s="23">
        <v>603</v>
      </c>
      <c r="B604" s="11" t="s">
        <v>3702</v>
      </c>
      <c r="C604" s="11"/>
      <c r="D604" s="11" t="s">
        <v>3703</v>
      </c>
      <c r="E604" s="9" t="str">
        <f ca="1">IFERROR(__xludf.DUMMYFUNCTION("GOOGLETRANSLATE(B604,""zh"",""vi"")"),"tạp chí")</f>
        <v>tạp chí</v>
      </c>
      <c r="F604" s="35" t="s">
        <v>87</v>
      </c>
    </row>
    <row r="605" spans="1:6">
      <c r="A605" s="23">
        <v>604</v>
      </c>
      <c r="B605" s="11" t="s">
        <v>3704</v>
      </c>
      <c r="C605" s="11"/>
      <c r="D605" s="11" t="s">
        <v>3705</v>
      </c>
      <c r="E605" s="9" t="str">
        <f ca="1">IFERROR(__xludf.DUMMYFUNCTION("GOOGLETRANSLATE(B605,""zh"",""vi"")"),"lịch")</f>
        <v>lịch</v>
      </c>
      <c r="F605" s="35" t="s">
        <v>34</v>
      </c>
    </row>
    <row r="606" spans="1:6">
      <c r="A606" s="23">
        <v>605</v>
      </c>
      <c r="B606" s="11" t="s">
        <v>3706</v>
      </c>
      <c r="C606" s="11"/>
      <c r="D606" s="11" t="s">
        <v>3707</v>
      </c>
      <c r="E606" s="9" t="str">
        <f ca="1">IFERROR(__xludf.DUMMYFUNCTION("GOOGLETRANSLATE(B606,""zh"",""vi"")"),"Hiện nay")</f>
        <v>Hiện nay</v>
      </c>
      <c r="F606" s="35" t="s">
        <v>34</v>
      </c>
    </row>
    <row r="607" spans="1:6">
      <c r="A607" s="23">
        <v>606</v>
      </c>
      <c r="B607" s="11" t="s">
        <v>3708</v>
      </c>
      <c r="C607" s="11"/>
      <c r="D607" s="11" t="s">
        <v>3709</v>
      </c>
      <c r="E607" s="9" t="str">
        <f ca="1">IFERROR(__xludf.DUMMYFUNCTION("GOOGLETRANSLATE(B607,""zh"",""vi"")"),"yếu đuối")</f>
        <v>yếu đuối</v>
      </c>
      <c r="F607" s="35" t="s">
        <v>107</v>
      </c>
    </row>
    <row r="608" spans="1:6">
      <c r="A608" s="23">
        <v>607</v>
      </c>
      <c r="B608" s="11" t="s">
        <v>2164</v>
      </c>
      <c r="C608" s="11"/>
      <c r="D608" s="11" t="s">
        <v>2165</v>
      </c>
      <c r="E608" s="9" t="str">
        <f ca="1">IFERROR(__xludf.DUMMYFUNCTION("GOOGLETRANSLATE(B608,""zh"",""vi"")"),"Chiếc ô")</f>
        <v>Chiếc ô</v>
      </c>
      <c r="F608" s="35" t="s">
        <v>48</v>
      </c>
    </row>
    <row r="609" spans="1:6">
      <c r="A609" s="23">
        <v>608</v>
      </c>
      <c r="B609" s="11" t="s">
        <v>3710</v>
      </c>
      <c r="C609" s="11"/>
      <c r="D609" s="11" t="s">
        <v>3711</v>
      </c>
      <c r="E609" s="9" t="str">
        <f ca="1">IFERROR(__xludf.DUMMYFUNCTION("GOOGLETRANSLATE(B609,""zh"",""vi"")"),"Rải rác")</f>
        <v>Rải rác</v>
      </c>
      <c r="F609" s="35" t="s">
        <v>87</v>
      </c>
    </row>
    <row r="610" spans="1:6">
      <c r="A610" s="23">
        <v>609</v>
      </c>
      <c r="B610" s="11" t="s">
        <v>3712</v>
      </c>
      <c r="C610" s="11"/>
      <c r="D610" s="11" t="s">
        <v>3713</v>
      </c>
      <c r="E610" s="9" t="str">
        <f ca="1">IFERROR(__xludf.DUMMYFUNCTION("GOOGLETRANSLATE(B610,""zh"",""vi"")"),"quét")</f>
        <v>quét</v>
      </c>
      <c r="F610" s="35" t="s">
        <v>87</v>
      </c>
    </row>
    <row r="611" spans="1:6">
      <c r="A611" s="23">
        <v>610</v>
      </c>
      <c r="B611" s="11" t="s">
        <v>3714</v>
      </c>
      <c r="C611" s="11"/>
      <c r="D611" s="11" t="s">
        <v>3715</v>
      </c>
      <c r="E611" s="9" t="str">
        <f ca="1">IFERROR(__xludf.DUMMYFUNCTION("GOOGLETRANSLATE(B611,""zh"",""vi"")"),"màu sắc")</f>
        <v>màu sắc</v>
      </c>
      <c r="F611" s="35" t="s">
        <v>107</v>
      </c>
    </row>
    <row r="612" spans="1:6">
      <c r="A612" s="23">
        <v>611</v>
      </c>
      <c r="B612" s="11" t="s">
        <v>3716</v>
      </c>
      <c r="C612" s="11"/>
      <c r="D612" s="11" t="s">
        <v>3717</v>
      </c>
      <c r="E612" s="9" t="str">
        <f ca="1">IFERROR(__xludf.DUMMYFUNCTION("GOOGLETRANSLATE(B612,""zh"",""vi"")"),"màu sắc")</f>
        <v>màu sắc</v>
      </c>
      <c r="F612" s="35" t="s">
        <v>107</v>
      </c>
    </row>
    <row r="613" spans="1:6">
      <c r="A613" s="23">
        <v>612</v>
      </c>
      <c r="B613" s="11" t="s">
        <v>3718</v>
      </c>
      <c r="C613" s="11"/>
      <c r="D613" s="11" t="s">
        <v>3719</v>
      </c>
      <c r="E613" s="9" t="str">
        <f ca="1">IFERROR(__xludf.DUMMYFUNCTION("GOOGLETRANSLATE(B613,""zh"",""vi"")"),"rừng")</f>
        <v>rừng</v>
      </c>
      <c r="F613" s="35" t="s">
        <v>203</v>
      </c>
    </row>
    <row r="614" spans="1:6">
      <c r="A614" s="23">
        <v>613</v>
      </c>
      <c r="B614" s="11" t="s">
        <v>3720</v>
      </c>
      <c r="C614" s="11"/>
      <c r="D614" s="11" t="s">
        <v>3721</v>
      </c>
      <c r="E614" s="9" t="str">
        <f ca="1">IFERROR(__xludf.DUMMYFUNCTION("GOOGLETRANSLATE(B614,""zh"",""vi"")"),"mặt trời")</f>
        <v>mặt trời</v>
      </c>
      <c r="F614" s="35" t="s">
        <v>203</v>
      </c>
    </row>
    <row r="615" spans="1:6">
      <c r="A615" s="23">
        <v>614</v>
      </c>
      <c r="B615" s="11" t="s">
        <v>3722</v>
      </c>
      <c r="C615" s="11"/>
      <c r="D615" s="11" t="s">
        <v>3723</v>
      </c>
      <c r="E615" s="9" t="str">
        <f ca="1">IFERROR(__xludf.DUMMYFUNCTION("GOOGLETRANSLATE(B615,""zh"",""vi"")"),"đèn flash")</f>
        <v>đèn flash</v>
      </c>
      <c r="F615" s="35" t="s">
        <v>203</v>
      </c>
    </row>
    <row r="616" spans="1:6">
      <c r="A616" s="23">
        <v>615</v>
      </c>
      <c r="B616" s="11" t="s">
        <v>3724</v>
      </c>
      <c r="C616" s="11"/>
      <c r="D616" s="11" t="s">
        <v>3725</v>
      </c>
      <c r="E616" s="9" t="str">
        <f ca="1">IFERROR(__xludf.DUMMYFUNCTION("GOOGLETRANSLATE(B616,""zh"",""vi"")"),"sét")</f>
        <v>sét</v>
      </c>
      <c r="F616" s="35" t="s">
        <v>203</v>
      </c>
    </row>
    <row r="617" spans="1:6">
      <c r="A617" s="23">
        <v>616</v>
      </c>
      <c r="B617" s="11" t="s">
        <v>3726</v>
      </c>
      <c r="C617" s="11"/>
      <c r="D617" s="11" t="s">
        <v>3727</v>
      </c>
      <c r="E617" s="9" t="str">
        <f ca="1">IFERROR(__xludf.DUMMYFUNCTION("GOOGLETRANSLATE(B617,""zh"",""vi"")"),"Loại")</f>
        <v>Loại</v>
      </c>
      <c r="F617" s="35" t="s">
        <v>15</v>
      </c>
    </row>
    <row r="618" spans="1:6">
      <c r="A618" s="23">
        <v>617</v>
      </c>
      <c r="B618" s="11" t="s">
        <v>3728</v>
      </c>
      <c r="C618" s="11"/>
      <c r="D618" s="11" t="s">
        <v>3729</v>
      </c>
      <c r="E618" s="9" t="str">
        <f ca="1">IFERROR(__xludf.DUMMYFUNCTION("GOOGLETRANSLATE(B618,""zh"",""vi"")"),"Giỏi về")</f>
        <v>Giỏi về</v>
      </c>
      <c r="F618" s="35" t="s">
        <v>15</v>
      </c>
    </row>
    <row r="619" spans="1:6">
      <c r="A619" s="23">
        <v>618</v>
      </c>
      <c r="B619" s="11" t="s">
        <v>3730</v>
      </c>
      <c r="C619" s="11"/>
      <c r="D619" s="11" t="s">
        <v>3731</v>
      </c>
      <c r="E619" s="9" t="str">
        <f ca="1">IFERROR(__xludf.DUMMYFUNCTION("GOOGLETRANSLATE(B619,""zh"",""vi"")"),"làm hại")</f>
        <v>làm hại</v>
      </c>
      <c r="F619" s="35" t="s">
        <v>64</v>
      </c>
    </row>
    <row r="620" spans="1:6">
      <c r="A620" s="23">
        <v>619</v>
      </c>
      <c r="B620" s="11" t="s">
        <v>3732</v>
      </c>
      <c r="C620" s="11"/>
      <c r="D620" s="11" t="s">
        <v>3733</v>
      </c>
      <c r="E620" s="9" t="str">
        <f ca="1">IFERROR(__xludf.DUMMYFUNCTION("GOOGLETRANSLATE(B620,""zh"",""vi"")"),"Việc kinh doanh")</f>
        <v>Việc kinh doanh</v>
      </c>
      <c r="F620" s="35" t="s">
        <v>115</v>
      </c>
    </row>
    <row r="621" spans="1:6">
      <c r="A621" s="23">
        <v>620</v>
      </c>
      <c r="B621" s="11" t="s">
        <v>3734</v>
      </c>
      <c r="C621" s="11"/>
      <c r="D621" s="11" t="s">
        <v>3735</v>
      </c>
      <c r="E621" s="9" t="str">
        <f ca="1">IFERROR(__xludf.DUMMYFUNCTION("GOOGLETRANSLATE(B621,""zh"",""vi"")"),"phần thưởng")</f>
        <v>phần thưởng</v>
      </c>
      <c r="F621" s="35" t="s">
        <v>15</v>
      </c>
    </row>
    <row r="622" spans="1:6">
      <c r="A622" s="23">
        <v>621</v>
      </c>
      <c r="B622" s="11" t="s">
        <v>3736</v>
      </c>
      <c r="C622" s="11"/>
      <c r="D622" s="11" t="s">
        <v>3737</v>
      </c>
      <c r="E622" s="9" t="str">
        <f ca="1">IFERROR(__xludf.DUMMYFUNCTION("GOOGLETRANSLATE(B622,""zh"",""vi"")"),"tháng trước")</f>
        <v>tháng trước</v>
      </c>
      <c r="F622" s="35" t="s">
        <v>34</v>
      </c>
    </row>
    <row r="623" spans="1:6">
      <c r="A623" s="23">
        <v>622</v>
      </c>
      <c r="B623" s="11" t="s">
        <v>3738</v>
      </c>
      <c r="C623" s="11"/>
      <c r="D623" s="11" t="s">
        <v>3739</v>
      </c>
      <c r="E623" s="9" t="str">
        <f ca="1">IFERROR(__xludf.DUMMYFUNCTION("GOOGLETRANSLATE(B623,""zh"",""vi"")"),"Lên lầu")</f>
        <v>Lên lầu</v>
      </c>
      <c r="F623" s="35" t="s">
        <v>94</v>
      </c>
    </row>
    <row r="624" spans="1:6">
      <c r="A624" s="23">
        <v>623</v>
      </c>
      <c r="B624" s="11" t="s">
        <v>3740</v>
      </c>
      <c r="C624" s="11"/>
      <c r="D624" s="11" t="s">
        <v>3741</v>
      </c>
      <c r="E624" s="9" t="str">
        <f ca="1">IFERROR(__xludf.DUMMYFUNCTION("GOOGLETRANSLATE(B624,""zh"",""vi"")"),"Dịch vụ tận nhà")</f>
        <v>Dịch vụ tận nhà</v>
      </c>
      <c r="F624" s="35" t="s">
        <v>87</v>
      </c>
    </row>
    <row r="625" spans="1:6">
      <c r="A625" s="23">
        <v>624</v>
      </c>
      <c r="B625" s="11" t="s">
        <v>3742</v>
      </c>
      <c r="C625" s="11"/>
      <c r="D625" s="11" t="s">
        <v>3743</v>
      </c>
      <c r="E625" s="9" t="str">
        <f ca="1">IFERROR(__xludf.DUMMYFUNCTION("GOOGLETRANSLATE(B625,""zh"",""vi"")"),"cháy")</f>
        <v>cháy</v>
      </c>
      <c r="F625" s="35" t="s">
        <v>87</v>
      </c>
    </row>
    <row r="626" spans="1:6">
      <c r="A626" s="23">
        <v>625</v>
      </c>
      <c r="B626" s="11" t="s">
        <v>3744</v>
      </c>
      <c r="C626" s="11"/>
      <c r="D626" s="11" t="s">
        <v>3745</v>
      </c>
      <c r="E626" s="9" t="str">
        <f ca="1">IFERROR(__xludf.DUMMYFUNCTION("GOOGLETRANSLATE(B626,""zh"",""vi"")"),"cơ sở")</f>
        <v>cơ sở</v>
      </c>
      <c r="F626" s="35" t="s">
        <v>90</v>
      </c>
    </row>
    <row r="627" spans="1:6">
      <c r="A627" s="23">
        <v>626</v>
      </c>
      <c r="B627" s="11" t="s">
        <v>3746</v>
      </c>
      <c r="C627" s="11"/>
      <c r="D627" s="11" t="s">
        <v>3747</v>
      </c>
      <c r="E627" s="9" t="str">
        <f ca="1">IFERROR(__xludf.DUMMYFUNCTION("GOOGLETRANSLATE(B627,""zh"",""vi"")"),"cài đặt")</f>
        <v>cài đặt</v>
      </c>
      <c r="F627" s="35" t="s">
        <v>48</v>
      </c>
    </row>
    <row r="628" spans="1:6">
      <c r="A628" s="23">
        <v>627</v>
      </c>
      <c r="B628" s="11" t="s">
        <v>3748</v>
      </c>
      <c r="C628" s="11"/>
      <c r="D628" s="11" t="s">
        <v>3749</v>
      </c>
      <c r="E628" s="9" t="str">
        <f ca="1">IFERROR(__xludf.DUMMYFUNCTION("GOOGLETRANSLATE(B628,""zh"",""vi"")"),"Áp dụng")</f>
        <v>Áp dụng</v>
      </c>
      <c r="F628" s="35" t="s">
        <v>115</v>
      </c>
    </row>
    <row r="629" spans="1:6">
      <c r="A629" s="23">
        <v>628</v>
      </c>
      <c r="B629" s="11" t="s">
        <v>3750</v>
      </c>
      <c r="C629" s="11"/>
      <c r="D629" s="11" t="s">
        <v>3751</v>
      </c>
      <c r="E629" s="9" t="str">
        <f ca="1">IFERROR(__xludf.DUMMYFUNCTION("GOOGLETRANSLATE(B629,""zh"",""vi"")"),"nhân vật")</f>
        <v>nhân vật</v>
      </c>
      <c r="F629" s="35" t="s">
        <v>64</v>
      </c>
    </row>
    <row r="630" spans="1:6">
      <c r="A630" s="23">
        <v>629</v>
      </c>
      <c r="B630" s="11" t="s">
        <v>3752</v>
      </c>
      <c r="C630" s="11"/>
      <c r="D630" s="11" t="s">
        <v>3753</v>
      </c>
      <c r="E630" s="9" t="str">
        <f ca="1">IFERROR(__xludf.DUMMYFUNCTION("GOOGLETRANSLATE(B630,""zh"",""vi"")"),"danh tính")</f>
        <v>danh tính</v>
      </c>
      <c r="F630" s="35" t="s">
        <v>7</v>
      </c>
    </row>
    <row r="631" spans="1:6">
      <c r="A631" s="23">
        <v>630</v>
      </c>
      <c r="B631" s="11" t="s">
        <v>2178</v>
      </c>
      <c r="C631" s="11"/>
      <c r="D631" s="11" t="s">
        <v>3754</v>
      </c>
      <c r="E631" s="9" t="str">
        <f ca="1">IFERROR(__xludf.DUMMYFUNCTION("GOOGLETRANSLATE(B631,""zh"",""vi"")"),"chiều cao")</f>
        <v>chiều cao</v>
      </c>
      <c r="F631" s="35" t="s">
        <v>64</v>
      </c>
    </row>
    <row r="632" spans="1:6">
      <c r="A632" s="23">
        <v>631</v>
      </c>
      <c r="B632" s="11" t="s">
        <v>3755</v>
      </c>
      <c r="C632" s="11"/>
      <c r="D632" s="11" t="s">
        <v>3756</v>
      </c>
      <c r="E632" s="9" t="str">
        <f ca="1">IFERROR(__xludf.DUMMYFUNCTION("GOOGLETRANSLATE(B632,""zh"",""vi"")"),"sâu")</f>
        <v>sâu</v>
      </c>
      <c r="F632" s="35" t="s">
        <v>107</v>
      </c>
    </row>
    <row r="633" spans="1:6">
      <c r="A633" s="23">
        <v>632</v>
      </c>
      <c r="B633" s="11" t="s">
        <v>3757</v>
      </c>
      <c r="C633" s="11"/>
      <c r="D633" s="11" t="s">
        <v>3758</v>
      </c>
      <c r="E633" s="9" t="str">
        <f ca="1">IFERROR(__xludf.DUMMYFUNCTION("GOOGLETRANSLATE(B633,""zh"",""vi"")"),"thần thoại")</f>
        <v>thần thoại</v>
      </c>
      <c r="F633" s="35" t="s">
        <v>150</v>
      </c>
    </row>
    <row r="634" spans="1:6">
      <c r="A634" s="23">
        <v>633</v>
      </c>
      <c r="B634" s="11" t="s">
        <v>3759</v>
      </c>
      <c r="C634" s="11"/>
      <c r="D634" s="11" t="s">
        <v>3760</v>
      </c>
      <c r="E634" s="9" t="str">
        <f ca="1">IFERROR(__xludf.DUMMYFUNCTION("GOOGLETRANSLATE(B634,""zh"",""vi"")"),"bí ẩn")</f>
        <v>bí ẩn</v>
      </c>
      <c r="F634" s="35" t="s">
        <v>107</v>
      </c>
    </row>
    <row r="635" spans="1:6">
      <c r="A635" s="23">
        <v>634</v>
      </c>
      <c r="B635" s="11" t="s">
        <v>3761</v>
      </c>
      <c r="C635" s="11"/>
      <c r="D635" s="11" t="s">
        <v>3762</v>
      </c>
      <c r="E635" s="9" t="str">
        <f ca="1">IFERROR(__xludf.DUMMYFUNCTION("GOOGLETRANSLATE(B635,""zh"",""vi"")"),"thậm chí")</f>
        <v>thậm chí</v>
      </c>
      <c r="F635" s="35" t="s">
        <v>30</v>
      </c>
    </row>
    <row r="636" spans="1:6">
      <c r="A636" s="23">
        <v>635</v>
      </c>
      <c r="B636" s="11" t="s">
        <v>3763</v>
      </c>
      <c r="C636" s="11"/>
      <c r="D636" s="11" t="s">
        <v>3764</v>
      </c>
      <c r="E636" s="9" t="str">
        <f ca="1">IFERROR(__xludf.DUMMYFUNCTION("GOOGLETRANSLATE(B636,""zh"",""vi"")"),"thất bại")</f>
        <v>thất bại</v>
      </c>
      <c r="F636" s="35" t="s">
        <v>15</v>
      </c>
    </row>
    <row r="637" spans="1:6">
      <c r="A637" s="23">
        <v>636</v>
      </c>
      <c r="B637" s="11" t="s">
        <v>3765</v>
      </c>
      <c r="C637" s="11"/>
      <c r="D637" s="11" t="s">
        <v>3766</v>
      </c>
      <c r="E637" s="9" t="str">
        <f ca="1">IFERROR(__xludf.DUMMYFUNCTION("GOOGLETRANSLATE(B637,""zh"",""vi"")"),"sự thất vọng")</f>
        <v>sự thất vọng</v>
      </c>
      <c r="F637" s="35" t="s">
        <v>15</v>
      </c>
    </row>
    <row r="638" spans="1:6">
      <c r="A638" s="23">
        <v>637</v>
      </c>
      <c r="B638" s="11" t="s">
        <v>3767</v>
      </c>
      <c r="C638" s="11"/>
      <c r="D638" s="11" t="s">
        <v>3768</v>
      </c>
      <c r="E638" s="9" t="str">
        <f ca="1">IFERROR(__xludf.DUMMYFUNCTION("GOOGLETRANSLATE(B638,""zh"",""vi"")"),"nạn thất nghiệp")</f>
        <v>nạn thất nghiệp</v>
      </c>
      <c r="F638" s="35" t="s">
        <v>115</v>
      </c>
    </row>
    <row r="639" spans="1:6">
      <c r="A639" s="23">
        <v>638</v>
      </c>
      <c r="B639" s="11" t="s">
        <v>3769</v>
      </c>
      <c r="C639" s="11"/>
      <c r="D639" s="11" t="s">
        <v>3770</v>
      </c>
      <c r="E639" s="9" t="str">
        <f ca="1">IFERROR(__xludf.DUMMYFUNCTION("GOOGLETRANSLATE(B639,""zh"",""vi"")"),"thơ")</f>
        <v>thơ</v>
      </c>
      <c r="F639" s="35" t="s">
        <v>150</v>
      </c>
    </row>
    <row r="640" spans="1:6">
      <c r="A640" s="23">
        <v>639</v>
      </c>
      <c r="B640" s="11" t="s">
        <v>3771</v>
      </c>
      <c r="C640" s="11"/>
      <c r="D640" s="11" t="s">
        <v>3772</v>
      </c>
      <c r="E640" s="9" t="str">
        <f ca="1">IFERROR(__xludf.DUMMYFUNCTION("GOOGLETRANSLATE(B640,""zh"",""vi"")"),"nhà thơ")</f>
        <v>nhà thơ</v>
      </c>
      <c r="F640" s="35" t="s">
        <v>7</v>
      </c>
    </row>
    <row r="641" spans="1:6">
      <c r="A641" s="23">
        <v>640</v>
      </c>
      <c r="B641" s="11" t="s">
        <v>3773</v>
      </c>
      <c r="C641" s="11"/>
      <c r="D641" s="11" t="s">
        <v>3770</v>
      </c>
      <c r="E641" s="9" t="str">
        <f ca="1">IFERROR(__xludf.DUMMYFUNCTION("GOOGLETRANSLATE(B641,""zh"",""vi"")"),"ướt")</f>
        <v>ướt</v>
      </c>
      <c r="F641" s="35" t="s">
        <v>107</v>
      </c>
    </row>
    <row r="642" spans="1:6">
      <c r="A642" s="23">
        <v>641</v>
      </c>
      <c r="B642" s="11" t="s">
        <v>3774</v>
      </c>
      <c r="C642" s="11"/>
      <c r="D642" s="11" t="s">
        <v>3775</v>
      </c>
      <c r="E642" s="9" t="str">
        <f ca="1">IFERROR(__xludf.DUMMYFUNCTION("GOOGLETRANSLATE(B642,""zh"",""vi"")"),"Triển khai")</f>
        <v>Triển khai</v>
      </c>
      <c r="F642" s="35" t="s">
        <v>115</v>
      </c>
    </row>
    <row r="643" spans="1:6">
      <c r="A643" s="23">
        <v>642</v>
      </c>
      <c r="B643" s="11" t="s">
        <v>3776</v>
      </c>
      <c r="C643" s="11"/>
      <c r="D643" s="11" t="s">
        <v>3777</v>
      </c>
      <c r="E643" s="9" t="str">
        <f ca="1">IFERROR(__xludf.DUMMYFUNCTION("GOOGLETRANSLATE(B643,""zh"",""vi"")"),"thực tế")</f>
        <v>thực tế</v>
      </c>
      <c r="F643" s="35" t="s">
        <v>107</v>
      </c>
    </row>
    <row r="644" spans="1:6">
      <c r="A644" s="23">
        <v>643</v>
      </c>
      <c r="B644" s="11" t="s">
        <v>3778</v>
      </c>
      <c r="C644" s="11"/>
      <c r="D644" s="11" t="s">
        <v>3779</v>
      </c>
      <c r="E644" s="9" t="str">
        <f ca="1">IFERROR(__xludf.DUMMYFUNCTION("GOOGLETRANSLATE(B644,""zh"",""vi"")"),"căng tin")</f>
        <v>căng tin</v>
      </c>
      <c r="F644" s="35" t="s">
        <v>90</v>
      </c>
    </row>
    <row r="645" spans="1:6">
      <c r="A645" s="23">
        <v>644</v>
      </c>
      <c r="B645" s="11" t="s">
        <v>3780</v>
      </c>
      <c r="C645" s="11"/>
      <c r="D645" s="11" t="s">
        <v>3781</v>
      </c>
      <c r="E645" s="9" t="str">
        <f ca="1">IFERROR(__xludf.DUMMYFUNCTION("GOOGLETRANSLATE(B645,""zh"",""vi"")"),"tác dụng lực")</f>
        <v>tác dụng lực</v>
      </c>
      <c r="F645" s="35" t="s">
        <v>64</v>
      </c>
    </row>
    <row r="646" spans="1:6">
      <c r="A646" s="23">
        <v>645</v>
      </c>
      <c r="B646" s="11" t="s">
        <v>3782</v>
      </c>
      <c r="C646" s="11"/>
      <c r="D646" s="11" t="s">
        <v>3783</v>
      </c>
      <c r="E646" s="9" t="str">
        <f ca="1">IFERROR(__xludf.DUMMYFUNCTION("GOOGLETRANSLATE(B646,""zh"",""vi"")"),"Lính")</f>
        <v>Lính</v>
      </c>
      <c r="F646" s="35" t="s">
        <v>7</v>
      </c>
    </row>
    <row r="647" spans="1:6">
      <c r="A647" s="23">
        <v>646</v>
      </c>
      <c r="B647" s="11" t="s">
        <v>3784</v>
      </c>
      <c r="C647" s="11"/>
      <c r="D647" s="11" t="s">
        <v>3785</v>
      </c>
      <c r="E647" s="9" t="str">
        <f ca="1">IFERROR(__xludf.DUMMYFUNCTION("GOOGLETRANSLATE(B647,""zh"",""vi"")"),"Khu vực đô thị")</f>
        <v>Khu vực đô thị</v>
      </c>
      <c r="F647" s="35" t="s">
        <v>90</v>
      </c>
    </row>
    <row r="648" spans="1:6">
      <c r="A648" s="23">
        <v>647</v>
      </c>
      <c r="B648" s="11" t="s">
        <v>3786</v>
      </c>
      <c r="C648" s="11"/>
      <c r="D648" s="11" t="s">
        <v>3787</v>
      </c>
      <c r="E648" s="9" t="str">
        <f ca="1">IFERROR(__xludf.DUMMYFUNCTION("GOOGLETRANSLATE(B648,""zh"",""vi"")"),"Giống")</f>
        <v>Giống</v>
      </c>
      <c r="F648" s="35" t="s">
        <v>30</v>
      </c>
    </row>
    <row r="649" spans="1:6">
      <c r="A649" s="23">
        <v>648</v>
      </c>
      <c r="B649" s="11" t="s">
        <v>3788</v>
      </c>
      <c r="C649" s="11"/>
      <c r="D649" s="11" t="s">
        <v>3789</v>
      </c>
      <c r="E649" s="9" t="str">
        <f ca="1">IFERROR(__xludf.DUMMYFUNCTION("GOOGLETRANSLATE(B649,""zh"",""vi"")"),"điều")</f>
        <v>điều</v>
      </c>
      <c r="F649" s="35" t="s">
        <v>150</v>
      </c>
    </row>
    <row r="650" spans="1:6">
      <c r="A650" s="23">
        <v>649</v>
      </c>
      <c r="B650" s="11" t="s">
        <v>3790</v>
      </c>
      <c r="C650" s="11"/>
      <c r="D650" s="11" t="s">
        <v>3791</v>
      </c>
      <c r="E650" s="9" t="str">
        <f ca="1">IFERROR(__xludf.DUMMYFUNCTION("GOOGLETRANSLATE(B650,""zh"",""vi"")"),"trước")</f>
        <v>trước</v>
      </c>
      <c r="F650" s="35" t="s">
        <v>34</v>
      </c>
    </row>
    <row r="651" spans="1:6">
      <c r="A651" s="23">
        <v>650</v>
      </c>
      <c r="B651" s="11" t="s">
        <v>3792</v>
      </c>
      <c r="C651" s="11"/>
      <c r="D651" s="11" t="s">
        <v>3793</v>
      </c>
      <c r="E651" s="9" t="str">
        <f ca="1">IFERROR(__xludf.DUMMYFUNCTION("GOOGLETRANSLATE(B651,""zh"",""vi"")"),"Bài kiểm tra")</f>
        <v>Bài kiểm tra</v>
      </c>
      <c r="F651" s="35" t="s">
        <v>115</v>
      </c>
    </row>
    <row r="652" spans="1:6">
      <c r="A652" s="23">
        <v>651</v>
      </c>
      <c r="B652" s="11" t="s">
        <v>3794</v>
      </c>
      <c r="C652" s="11"/>
      <c r="D652" s="11" t="s">
        <v>3795</v>
      </c>
      <c r="E652" s="9" t="str">
        <f ca="1">IFERROR(__xludf.DUMMYFUNCTION("GOOGLETRANSLATE(B652,""zh"",""vi"")"),"liệu")</f>
        <v>liệu</v>
      </c>
      <c r="F652" s="35" t="s">
        <v>30</v>
      </c>
    </row>
    <row r="653" spans="1:6">
      <c r="A653" s="23">
        <v>652</v>
      </c>
      <c r="B653" s="11" t="s">
        <v>3796</v>
      </c>
      <c r="C653" s="11"/>
      <c r="D653" s="11" t="s">
        <v>3797</v>
      </c>
      <c r="E653" s="9" t="str">
        <f ca="1">IFERROR(__xludf.DUMMYFUNCTION("GOOGLETRANSLATE(B653,""zh"",""vi"")"),"Khôi phục")</f>
        <v>Khôi phục</v>
      </c>
      <c r="F653" s="35" t="s">
        <v>115</v>
      </c>
    </row>
    <row r="654" spans="1:6">
      <c r="A654" s="23">
        <v>653</v>
      </c>
      <c r="B654" s="11" t="s">
        <v>3798</v>
      </c>
      <c r="C654" s="11"/>
      <c r="D654" s="11" t="s">
        <v>3799</v>
      </c>
      <c r="E654" s="9" t="str">
        <f ca="1">IFERROR(__xludf.DUMMYFUNCTION("GOOGLETRANSLATE(B654,""zh"",""vi"")"),"Mùa gặt")</f>
        <v>Mùa gặt</v>
      </c>
      <c r="F654" s="35" t="s">
        <v>115</v>
      </c>
    </row>
    <row r="655" spans="1:6">
      <c r="A655" s="23">
        <v>654</v>
      </c>
      <c r="B655" s="11" t="s">
        <v>3800</v>
      </c>
      <c r="C655" s="11"/>
      <c r="D655" s="11" t="s">
        <v>3801</v>
      </c>
      <c r="E655" s="9" t="str">
        <f ca="1">IFERROR(__xludf.DUMMYFUNCTION("GOOGLETRANSLATE(B655,""zh"",""vi"")"),"thu nhập")</f>
        <v>thu nhập</v>
      </c>
      <c r="F655" s="35" t="s">
        <v>115</v>
      </c>
    </row>
    <row r="656" spans="1:6">
      <c r="A656" s="23">
        <v>655</v>
      </c>
      <c r="B656" s="11" t="s">
        <v>3802</v>
      </c>
      <c r="C656" s="11"/>
      <c r="D656" s="11" t="s">
        <v>3803</v>
      </c>
      <c r="E656" s="9" t="str">
        <f ca="1">IFERROR(__xludf.DUMMYFUNCTION("GOOGLETRANSLATE(B656,""zh"",""vi"")"),"thủ công")</f>
        <v>thủ công</v>
      </c>
      <c r="F656" s="35" t="s">
        <v>115</v>
      </c>
    </row>
    <row r="657" spans="1:6">
      <c r="A657" s="23">
        <v>656</v>
      </c>
      <c r="B657" s="11" t="s">
        <v>3804</v>
      </c>
      <c r="C657" s="11"/>
      <c r="D657" s="11" t="s">
        <v>3805</v>
      </c>
      <c r="E657" s="9" t="str">
        <f ca="1">IFERROR(__xludf.DUMMYFUNCTION("GOOGLETRANSLATE(B657,""zh"",""vi"")"),"Trong tay")</f>
        <v>Trong tay</v>
      </c>
      <c r="F657" s="35" t="s">
        <v>60</v>
      </c>
    </row>
    <row r="658" spans="1:6">
      <c r="A658" s="23">
        <v>657</v>
      </c>
      <c r="B658" s="11" t="s">
        <v>3806</v>
      </c>
      <c r="C658" s="11"/>
      <c r="D658" s="11" t="s">
        <v>3807</v>
      </c>
      <c r="E658" s="9" t="str">
        <f ca="1">IFERROR(__xludf.DUMMYFUNCTION("GOOGLETRANSLATE(B658,""zh"",""vi"")"),"Hoạt động")</f>
        <v>Hoạt động</v>
      </c>
      <c r="F658" s="35" t="s">
        <v>64</v>
      </c>
    </row>
    <row r="659" spans="1:6">
      <c r="A659" s="23">
        <v>658</v>
      </c>
      <c r="B659" s="11" t="s">
        <v>3808</v>
      </c>
      <c r="C659" s="11"/>
      <c r="D659" s="11" t="s">
        <v>3809</v>
      </c>
      <c r="E659" s="9" t="str">
        <f ca="1">IFERROR(__xludf.DUMMYFUNCTION("GOOGLETRANSLATE(B659,""zh"",""vi"")"),"Găng tay")</f>
        <v>Găng tay</v>
      </c>
      <c r="F659" s="35" t="s">
        <v>48</v>
      </c>
    </row>
    <row r="660" spans="1:6">
      <c r="A660" s="23">
        <v>659</v>
      </c>
      <c r="B660" s="11" t="s">
        <v>3810</v>
      </c>
      <c r="C660" s="11"/>
      <c r="D660" s="11" t="s">
        <v>1062</v>
      </c>
      <c r="E660" s="9" t="str">
        <f ca="1">IFERROR(__xludf.DUMMYFUNCTION("GOOGLETRANSLATE(B660,""zh"",""vi"")"),"Người bảo vệ")</f>
        <v>Người bảo vệ</v>
      </c>
      <c r="F660" s="35" t="s">
        <v>15</v>
      </c>
    </row>
    <row r="661" spans="1:6">
      <c r="A661" s="23">
        <v>660</v>
      </c>
      <c r="B661" s="11" t="s">
        <v>3811</v>
      </c>
      <c r="C661" s="11"/>
      <c r="D661" s="11" t="s">
        <v>1062</v>
      </c>
      <c r="E661" s="9" t="str">
        <f ca="1">IFERROR(__xludf.DUMMYFUNCTION("GOOGLETRANSLATE(B661,""zh"",""vi"")"),"Thứ nhất (Số lượng)")</f>
        <v>Thứ nhất (Số lượng)</v>
      </c>
      <c r="F661" s="35" t="s">
        <v>21</v>
      </c>
    </row>
    <row r="662" spans="1:6">
      <c r="A662" s="23">
        <v>661</v>
      </c>
      <c r="B662" s="11" t="s">
        <v>3812</v>
      </c>
      <c r="C662" s="11"/>
      <c r="D662" s="11" t="s">
        <v>3813</v>
      </c>
      <c r="E662" s="9" t="str">
        <f ca="1">IFERROR(__xludf.DUMMYFUNCTION("GOOGLETRANSLATE(B662,""zh"",""vi"")"),"Tôi không thể chịu đựng được điều đó")</f>
        <v>Tôi không thể chịu đựng được điều đó</v>
      </c>
      <c r="F662" s="35" t="s">
        <v>15</v>
      </c>
    </row>
    <row r="663" spans="1:6">
      <c r="A663" s="23">
        <v>662</v>
      </c>
      <c r="B663" s="11" t="s">
        <v>481</v>
      </c>
      <c r="C663" s="11"/>
      <c r="D663" s="11" t="s">
        <v>482</v>
      </c>
      <c r="E663" s="9" t="str">
        <f ca="1">IFERROR(__xludf.DUMMYFUNCTION("GOOGLETRANSLATE(B663,""zh"",""vi"")"),"Nhân viên bán hàng")</f>
        <v>Nhân viên bán hàng</v>
      </c>
      <c r="F663" s="35" t="s">
        <v>115</v>
      </c>
    </row>
    <row r="664" spans="1:6">
      <c r="A664" s="23">
        <v>663</v>
      </c>
      <c r="B664" s="11" t="s">
        <v>2209</v>
      </c>
      <c r="C664" s="11"/>
      <c r="D664" s="11" t="s">
        <v>2210</v>
      </c>
      <c r="E664" s="9" t="str">
        <f ca="1">IFERROR(__xludf.DUMMYFUNCTION("GOOGLETRANSLATE(B664,""zh"",""vi"")"),"chú ")</f>
        <v xml:space="preserve">chú </v>
      </c>
      <c r="F664" s="35" t="s">
        <v>7</v>
      </c>
    </row>
    <row r="665" spans="1:6">
      <c r="A665" s="23">
        <v>664</v>
      </c>
      <c r="B665" s="11" t="s">
        <v>3814</v>
      </c>
      <c r="C665" s="11"/>
      <c r="D665" s="11" t="s">
        <v>3815</v>
      </c>
      <c r="E665" s="9" t="str">
        <f ca="1">IFERROR(__xludf.DUMMYFUNCTION("GOOGLETRANSLATE(B665,""zh"",""vi"")"),"An ủi")</f>
        <v>An ủi</v>
      </c>
      <c r="F665" s="35" t="s">
        <v>15</v>
      </c>
    </row>
    <row r="666" spans="1:6">
      <c r="A666" s="23">
        <v>665</v>
      </c>
      <c r="B666" s="11" t="s">
        <v>3816</v>
      </c>
      <c r="C666" s="11"/>
      <c r="D666" s="11" t="s">
        <v>3817</v>
      </c>
      <c r="E666" s="9" t="str">
        <f ca="1">IFERROR(__xludf.DUMMYFUNCTION("GOOGLETRANSLATE(B666,""zh"",""vi"")"),"có kỹ năng")</f>
        <v>có kỹ năng</v>
      </c>
      <c r="F666" s="35" t="s">
        <v>107</v>
      </c>
    </row>
    <row r="667" spans="1:6">
      <c r="A667" s="23">
        <v>666</v>
      </c>
      <c r="B667" s="11" t="s">
        <v>3818</v>
      </c>
      <c r="C667" s="11"/>
      <c r="D667" s="11" t="s">
        <v>3819</v>
      </c>
      <c r="E667" s="9" t="str">
        <f ca="1">IFERROR(__xludf.DUMMYFUNCTION("GOOGLETRANSLATE(B667,""zh"",""vi"")"),"kỳ nghỉ hè")</f>
        <v>kỳ nghỉ hè</v>
      </c>
      <c r="F667" s="35" t="s">
        <v>34</v>
      </c>
    </row>
    <row r="668" spans="1:6">
      <c r="A668" s="23">
        <v>667</v>
      </c>
      <c r="B668" s="11" t="s">
        <v>3820</v>
      </c>
      <c r="C668" s="11"/>
      <c r="D668" s="11" t="s">
        <v>3821</v>
      </c>
      <c r="E668" s="9" t="str">
        <f ca="1">IFERROR(__xludf.DUMMYFUNCTION("GOOGLETRANSLATE(B668,""zh"",""vi"")"),"rừng")</f>
        <v>rừng</v>
      </c>
      <c r="F668" s="35" t="s">
        <v>203</v>
      </c>
    </row>
    <row r="669" spans="1:6">
      <c r="A669" s="23">
        <v>668</v>
      </c>
      <c r="B669" s="11" t="s">
        <v>3822</v>
      </c>
      <c r="C669" s="11"/>
      <c r="D669" s="11" t="s">
        <v>3823</v>
      </c>
      <c r="E669" s="9" t="str">
        <f ca="1">IFERROR(__xludf.DUMMYFUNCTION("GOOGLETRANSLATE(B669,""zh"",""vi"")"),"Lá")</f>
        <v>Lá</v>
      </c>
      <c r="F669" s="35" t="s">
        <v>203</v>
      </c>
    </row>
    <row r="670" spans="1:6">
      <c r="A670" s="23">
        <v>669</v>
      </c>
      <c r="B670" s="11" t="s">
        <v>3824</v>
      </c>
      <c r="C670" s="11"/>
      <c r="D670" s="11" t="s">
        <v>3825</v>
      </c>
      <c r="E670" s="9" t="str">
        <f ca="1">IFERROR(__xludf.DUMMYFUNCTION("GOOGLETRANSLATE(B670,""zh"",""vi"")"),"dữ liệu")</f>
        <v>dữ liệu</v>
      </c>
      <c r="F670" s="35" t="s">
        <v>115</v>
      </c>
    </row>
    <row r="671" spans="1:6">
      <c r="A671" s="23">
        <v>670</v>
      </c>
      <c r="B671" s="11" t="s">
        <v>3826</v>
      </c>
      <c r="C671" s="11"/>
      <c r="D671" s="11" t="s">
        <v>3827</v>
      </c>
      <c r="E671" s="9" t="str">
        <f ca="1">IFERROR(__xludf.DUMMYFUNCTION("GOOGLETRANSLATE(B671,""zh"",""vi"")"),"Điện tử")</f>
        <v>Điện tử</v>
      </c>
      <c r="F671" s="35" t="s">
        <v>48</v>
      </c>
    </row>
    <row r="672" spans="1:6">
      <c r="A672" s="23">
        <v>671</v>
      </c>
      <c r="B672" s="11" t="s">
        <v>2218</v>
      </c>
      <c r="C672" s="11"/>
      <c r="D672" s="11" t="s">
        <v>2219</v>
      </c>
      <c r="E672" s="9" t="str">
        <f ca="1">IFERROR(__xludf.DUMMYFUNCTION("GOOGLETRANSLATE(B672,""zh"",""vi"")"),"chải")</f>
        <v>chải</v>
      </c>
      <c r="F672" s="35" t="s">
        <v>48</v>
      </c>
    </row>
    <row r="673" spans="1:6">
      <c r="A673" s="23">
        <v>672</v>
      </c>
      <c r="B673" s="11" t="s">
        <v>3828</v>
      </c>
      <c r="C673" s="11"/>
      <c r="D673" s="11" t="s">
        <v>3829</v>
      </c>
      <c r="E673" s="9" t="str">
        <f ca="1">IFERROR(__xludf.DUMMYFUNCTION("GOOGLETRANSLATE(B673,""zh"",""vi"")"),"đánh răng")</f>
        <v>đánh răng</v>
      </c>
      <c r="F673" s="35" t="s">
        <v>87</v>
      </c>
    </row>
    <row r="674" spans="1:6">
      <c r="A674" s="23">
        <v>673</v>
      </c>
      <c r="B674" s="11" t="s">
        <v>3830</v>
      </c>
      <c r="C674" s="11"/>
      <c r="D674" s="11" t="s">
        <v>3831</v>
      </c>
      <c r="E674" s="9" t="str">
        <f ca="1">IFERROR(__xludf.DUMMYFUNCTION("GOOGLETRANSLATE(B674,""zh"",""vi"")"),"chải")</f>
        <v>chải</v>
      </c>
      <c r="F674" s="35" t="s">
        <v>48</v>
      </c>
    </row>
    <row r="675" spans="1:6">
      <c r="A675" s="23">
        <v>674</v>
      </c>
      <c r="B675" s="11" t="s">
        <v>3832</v>
      </c>
      <c r="C675" s="11"/>
      <c r="D675" s="11" t="s">
        <v>3833</v>
      </c>
      <c r="E675" s="9" t="str">
        <f ca="1">IFERROR(__xludf.DUMMYFUNCTION("GOOGLETRANSLATE(B675,""zh"",""vi"")"),"đẹp trai")</f>
        <v>đẹp trai</v>
      </c>
      <c r="F675" s="35" t="s">
        <v>107</v>
      </c>
    </row>
    <row r="676" spans="1:6">
      <c r="A676" s="23">
        <v>675</v>
      </c>
      <c r="B676" s="11" t="s">
        <v>3834</v>
      </c>
      <c r="C676" s="11"/>
      <c r="D676" s="11" t="s">
        <v>3835</v>
      </c>
      <c r="E676" s="9" t="str">
        <f ca="1">IFERROR(__xludf.DUMMYFUNCTION("GOOGLETRANSLATE(B676,""zh"",""vi"")"),"chàng trai đẹp trai")</f>
        <v>chàng trai đẹp trai</v>
      </c>
      <c r="F676" s="35" t="s">
        <v>7</v>
      </c>
    </row>
    <row r="677" spans="1:6">
      <c r="A677" s="23">
        <v>676</v>
      </c>
      <c r="B677" s="11" t="s">
        <v>3836</v>
      </c>
      <c r="C677" s="11"/>
      <c r="D677" s="11" t="s">
        <v>3837</v>
      </c>
      <c r="E677" s="9" t="str">
        <f ca="1">IFERROR(__xludf.DUMMYFUNCTION("GOOGLETRANSLATE(B677,""zh"",""vi"")"),"Đầu tiên")</f>
        <v>Đầu tiên</v>
      </c>
      <c r="F677" s="35" t="s">
        <v>15</v>
      </c>
    </row>
    <row r="678" spans="1:6">
      <c r="A678" s="23">
        <v>677</v>
      </c>
      <c r="B678" s="11" t="s">
        <v>3838</v>
      </c>
      <c r="C678" s="11"/>
      <c r="D678" s="11" t="s">
        <v>3839</v>
      </c>
      <c r="E678" s="9" t="str">
        <f ca="1">IFERROR(__xludf.DUMMYFUNCTION("GOOGLETRANSLATE(B678,""zh"",""vi"")"),"ngủ")</f>
        <v>ngủ</v>
      </c>
      <c r="F678" s="35" t="s">
        <v>87</v>
      </c>
    </row>
    <row r="679" spans="1:6">
      <c r="A679" s="23">
        <v>678</v>
      </c>
      <c r="B679" s="11" t="s">
        <v>3840</v>
      </c>
      <c r="C679" s="11"/>
      <c r="D679" s="11" t="s">
        <v>3841</v>
      </c>
      <c r="E679" s="9" t="str">
        <f ca="1">IFERROR(__xludf.DUMMYFUNCTION("GOOGLETRANSLATE(B679,""zh"",""vi"")"),"đặt hàng")</f>
        <v>đặt hàng</v>
      </c>
      <c r="F679" s="35" t="s">
        <v>21</v>
      </c>
    </row>
    <row r="680" spans="1:6">
      <c r="A680" s="23">
        <v>679</v>
      </c>
      <c r="B680" s="11" t="s">
        <v>3842</v>
      </c>
      <c r="C680" s="11"/>
      <c r="D680" s="11" t="s">
        <v>3843</v>
      </c>
      <c r="E680" s="9" t="str">
        <f ca="1">IFERROR(__xludf.DUMMYFUNCTION("GOOGLETRANSLATE(B680,""zh"",""vi"")"),"Có lẽ")</f>
        <v>Có lẽ</v>
      </c>
      <c r="F680" s="35" t="s">
        <v>150</v>
      </c>
    </row>
    <row r="681" spans="1:6">
      <c r="A681" s="23">
        <v>680</v>
      </c>
      <c r="B681" s="11" t="s">
        <v>3844</v>
      </c>
      <c r="C681" s="11"/>
      <c r="D681" s="11" t="s">
        <v>3845</v>
      </c>
      <c r="E681" s="9" t="str">
        <f ca="1">IFERROR(__xludf.DUMMYFUNCTION("GOOGLETRANSLATE(B681,""zh"",""vi"")"),"thuyết phục")</f>
        <v>thuyết phục</v>
      </c>
      <c r="F681" s="35" t="s">
        <v>150</v>
      </c>
    </row>
    <row r="682" spans="1:6">
      <c r="A682" s="23">
        <v>681</v>
      </c>
      <c r="B682" s="11" t="s">
        <v>3846</v>
      </c>
      <c r="C682" s="11"/>
      <c r="D682" s="11" t="s">
        <v>3847</v>
      </c>
      <c r="E682" s="9" t="str">
        <f ca="1">IFERROR(__xludf.DUMMYFUNCTION("GOOGLETRANSLATE(B682,""zh"",""vi"")"),"nghĩ")</f>
        <v>nghĩ</v>
      </c>
      <c r="F682" s="35" t="s">
        <v>150</v>
      </c>
    </row>
    <row r="683" spans="1:6">
      <c r="A683" s="23">
        <v>682</v>
      </c>
      <c r="B683" s="11" t="s">
        <v>3848</v>
      </c>
      <c r="C683" s="11"/>
      <c r="D683" s="11" t="s">
        <v>3849</v>
      </c>
      <c r="E683" s="9" t="str">
        <f ca="1">IFERROR(__xludf.DUMMYFUNCTION("GOOGLETRANSLATE(B683,""zh"",""vi"")"),"có vẻ")</f>
        <v>có vẻ</v>
      </c>
      <c r="F683" s="35" t="s">
        <v>150</v>
      </c>
    </row>
    <row r="684" spans="1:6">
      <c r="A684" s="23">
        <v>683</v>
      </c>
      <c r="B684" s="11" t="s">
        <v>3850</v>
      </c>
      <c r="C684" s="11"/>
      <c r="D684" s="11" t="s">
        <v>3851</v>
      </c>
      <c r="E684" s="9" t="str">
        <f ca="1">IFERROR(__xludf.DUMMYFUNCTION("GOOGLETRANSLATE(B684,""zh"",""vi"")"),"lỏng lẻo")</f>
        <v>lỏng lẻo</v>
      </c>
      <c r="F684" s="35" t="s">
        <v>107</v>
      </c>
    </row>
    <row r="685" spans="1:6">
      <c r="A685" s="23">
        <v>684</v>
      </c>
      <c r="B685" s="11" t="s">
        <v>3852</v>
      </c>
      <c r="C685" s="11"/>
      <c r="D685" s="11" t="s">
        <v>3853</v>
      </c>
      <c r="E685" s="9" t="str">
        <f ca="1">IFERROR(__xludf.DUMMYFUNCTION("GOOGLETRANSLATE(B685,""zh"",""vi"")"),"cây thông")</f>
        <v>cây thông</v>
      </c>
      <c r="F685" s="35" t="s">
        <v>203</v>
      </c>
    </row>
    <row r="686" spans="1:6">
      <c r="A686" s="23">
        <v>685</v>
      </c>
      <c r="B686" s="11" t="s">
        <v>3854</v>
      </c>
      <c r="C686" s="11"/>
      <c r="D686" s="11" t="s">
        <v>3855</v>
      </c>
      <c r="E686" s="9" t="str">
        <f ca="1">IFERROR(__xludf.DUMMYFUNCTION("GOOGLETRANSLATE(B686,""zh"",""vi"")"),"nhựa")</f>
        <v>nhựa</v>
      </c>
      <c r="F686" s="35" t="s">
        <v>48</v>
      </c>
    </row>
    <row r="687" spans="1:6">
      <c r="A687" s="23">
        <v>686</v>
      </c>
      <c r="B687" s="11" t="s">
        <v>3856</v>
      </c>
      <c r="C687" s="11"/>
      <c r="D687" s="11" t="s">
        <v>3857</v>
      </c>
      <c r="E687" s="9" t="str">
        <f ca="1">IFERROR(__xludf.DUMMYFUNCTION("GOOGLETRANSLATE(B687,""zh"",""vi"")"),"túi nhựa")</f>
        <v>túi nhựa</v>
      </c>
      <c r="F687" s="35" t="s">
        <v>48</v>
      </c>
    </row>
    <row r="688" spans="1:6">
      <c r="A688" s="23">
        <v>687</v>
      </c>
      <c r="B688" s="11" t="s">
        <v>3858</v>
      </c>
      <c r="C688" s="11"/>
      <c r="D688" s="11" t="s">
        <v>3859</v>
      </c>
      <c r="E688" s="9" t="str">
        <f ca="1">IFERROR(__xludf.DUMMYFUNCTION("GOOGLETRANSLATE(B688,""zh"",""vi"")"),"axit")</f>
        <v>axit</v>
      </c>
      <c r="F688" s="35" t="s">
        <v>107</v>
      </c>
    </row>
    <row r="689" spans="1:6">
      <c r="A689" s="23">
        <v>688</v>
      </c>
      <c r="B689" s="11" t="s">
        <v>3860</v>
      </c>
      <c r="C689" s="11"/>
      <c r="D689" s="11" t="s">
        <v>3861</v>
      </c>
      <c r="E689" s="9" t="str">
        <f ca="1">IFERROR(__xludf.DUMMYFUNCTION("GOOGLETRANSLATE(B689,""zh"",""vi"")"),"da ua")</f>
        <v>da ua</v>
      </c>
      <c r="F689" s="35" t="s">
        <v>87</v>
      </c>
    </row>
    <row r="690" spans="1:6">
      <c r="A690" s="23">
        <v>689</v>
      </c>
      <c r="B690" s="11" t="s">
        <v>3862</v>
      </c>
      <c r="C690" s="11"/>
      <c r="D690" s="11" t="s">
        <v>3863</v>
      </c>
      <c r="E690" s="9" t="str">
        <f ca="1">IFERROR(__xludf.DUMMYFUNCTION("GOOGLETRANSLATE(B690,""zh"",""vi"")"),"một cách tình cờ")</f>
        <v>một cách tình cờ</v>
      </c>
      <c r="F690" s="35" t="s">
        <v>15</v>
      </c>
    </row>
    <row r="691" spans="1:6">
      <c r="A691" s="23">
        <v>690</v>
      </c>
      <c r="B691" s="11" t="s">
        <v>3864</v>
      </c>
      <c r="C691" s="11"/>
      <c r="D691" s="11" t="s">
        <v>3865</v>
      </c>
      <c r="E691" s="9" t="str">
        <f ca="1">IFERROR(__xludf.DUMMYFUNCTION("GOOGLETRANSLATE(B691,""zh"",""vi"")"),"cháu gái")</f>
        <v>cháu gái</v>
      </c>
      <c r="F691" s="35" t="s">
        <v>7</v>
      </c>
    </row>
    <row r="692" spans="1:6">
      <c r="A692" s="23">
        <v>691</v>
      </c>
      <c r="B692" s="11" t="s">
        <v>3866</v>
      </c>
      <c r="C692" s="11"/>
      <c r="D692" s="11" t="s">
        <v>3867</v>
      </c>
      <c r="E692" s="9" t="str">
        <f ca="1">IFERROR(__xludf.DUMMYFUNCTION("GOOGLETRANSLATE(B692,""zh"",""vi"")"),"cháu trai")</f>
        <v>cháu trai</v>
      </c>
      <c r="F692" s="35" t="s">
        <v>7</v>
      </c>
    </row>
    <row r="693" spans="1:6">
      <c r="A693" s="23">
        <v>692</v>
      </c>
      <c r="B693" s="11" t="s">
        <v>3868</v>
      </c>
      <c r="C693" s="11"/>
      <c r="D693" s="11" t="s">
        <v>3869</v>
      </c>
      <c r="E693" s="9" t="str">
        <f ca="1">IFERROR(__xludf.DUMMYFUNCTION("GOOGLETRANSLATE(B693,""zh"",""vi"")"),"rút ngắn")</f>
        <v>rút ngắn</v>
      </c>
      <c r="F693" s="35" t="s">
        <v>21</v>
      </c>
    </row>
    <row r="694" spans="1:6">
      <c r="A694" s="23">
        <v>693</v>
      </c>
      <c r="B694" s="11" t="s">
        <v>3870</v>
      </c>
      <c r="C694" s="11"/>
      <c r="D694" s="11" t="s">
        <v>3871</v>
      </c>
      <c r="E694" s="9" t="str">
        <f ca="1">IFERROR(__xludf.DUMMYFUNCTION("GOOGLETRANSLATE(B694,""zh"",""vi"")"),"Thu nhỏ")</f>
        <v>Thu nhỏ</v>
      </c>
      <c r="F694" s="35" t="s">
        <v>21</v>
      </c>
    </row>
    <row r="695" spans="1:6">
      <c r="A695" s="23">
        <v>694</v>
      </c>
      <c r="B695" s="11" t="s">
        <v>3872</v>
      </c>
      <c r="C695" s="11"/>
      <c r="D695" s="11" t="s">
        <v>3873</v>
      </c>
      <c r="E695" s="9" t="str">
        <f ca="1">IFERROR(__xludf.DUMMYFUNCTION("GOOGLETRANSLATE(B695,""zh"",""vi"")"),"Các bước")</f>
        <v>Các bước</v>
      </c>
      <c r="F695" s="35" t="s">
        <v>90</v>
      </c>
    </row>
    <row r="696" spans="1:6">
      <c r="A696" s="23">
        <v>695</v>
      </c>
      <c r="B696" s="11" t="s">
        <v>3874</v>
      </c>
      <c r="C696" s="11"/>
      <c r="D696" s="11" t="s">
        <v>3875</v>
      </c>
      <c r="E696" s="9" t="str">
        <f ca="1">IFERROR(__xludf.DUMMYFUNCTION("GOOGLETRANSLATE(B696,""zh"",""vi"")"),"Trên sân khấu")</f>
        <v>Trên sân khấu</v>
      </c>
      <c r="F696" s="35" t="s">
        <v>90</v>
      </c>
    </row>
    <row r="697" spans="1:6">
      <c r="A697" s="23">
        <v>696</v>
      </c>
      <c r="B697" s="11" t="s">
        <v>3876</v>
      </c>
      <c r="C697" s="11"/>
      <c r="D697" s="11" t="s">
        <v>3877</v>
      </c>
      <c r="E697" s="9" t="str">
        <f ca="1">IFERROR(__xludf.DUMMYFUNCTION("GOOGLETRANSLATE(B697,""zh"",""vi"")"),"nói dối")</f>
        <v>nói dối</v>
      </c>
      <c r="F697" s="35" t="s">
        <v>87</v>
      </c>
    </row>
    <row r="698" spans="1:6">
      <c r="A698" s="23">
        <v>697</v>
      </c>
      <c r="B698" s="11" t="s">
        <v>3878</v>
      </c>
      <c r="C698" s="11"/>
      <c r="D698" s="11" t="s">
        <v>3879</v>
      </c>
      <c r="E698" s="9" t="str">
        <f ca="1">IFERROR(__xludf.DUMMYFUNCTION("GOOGLETRANSLATE(B698,""zh"",""vi"")"),"combo")</f>
        <v>combo</v>
      </c>
      <c r="F698" s="35" t="s">
        <v>87</v>
      </c>
    </row>
    <row r="699" spans="1:6">
      <c r="A699" s="23">
        <v>698</v>
      </c>
      <c r="B699" s="11" t="s">
        <v>3880</v>
      </c>
      <c r="C699" s="11"/>
      <c r="D699" s="11" t="s">
        <v>3881</v>
      </c>
      <c r="E699" s="9" t="str">
        <f ca="1">IFERROR(__xludf.DUMMYFUNCTION("GOOGLETRANSLATE(B699,""zh"",""vi"")"),"Ưu đãi đặc biệt")</f>
        <v>Ưu đãi đặc biệt</v>
      </c>
      <c r="F699" s="35" t="s">
        <v>115</v>
      </c>
    </row>
    <row r="700" spans="1:6">
      <c r="A700" s="23">
        <v>699</v>
      </c>
      <c r="B700" s="11" t="s">
        <v>3882</v>
      </c>
      <c r="C700" s="11"/>
      <c r="D700" s="11" t="s">
        <v>3883</v>
      </c>
      <c r="E700" s="9" t="str">
        <f ca="1">IFERROR(__xludf.DUMMYFUNCTION("GOOGLETRANSLATE(B700,""zh"",""vi"")"),"đặc biệt")</f>
        <v>đặc biệt</v>
      </c>
      <c r="F700" s="35" t="s">
        <v>107</v>
      </c>
    </row>
    <row r="701" spans="1:6">
      <c r="A701" s="23">
        <v>700</v>
      </c>
      <c r="B701" s="11" t="s">
        <v>3884</v>
      </c>
      <c r="C701" s="11"/>
      <c r="D701" s="11" t="s">
        <v>3885</v>
      </c>
      <c r="E701" s="9" t="str">
        <f ca="1">IFERROR(__xludf.DUMMYFUNCTION("GOOGLETRANSLATE(B701,""zh"",""vi"")"),"tính năng")</f>
        <v>tính năng</v>
      </c>
      <c r="F701" s="35" t="s">
        <v>107</v>
      </c>
    </row>
    <row r="702" spans="1:6">
      <c r="A702" s="23">
        <v>701</v>
      </c>
      <c r="C702" s="11"/>
      <c r="D702" s="9" t="e">
        <f t="shared" ref="D702:D956" ca="1" si="0">pinyin(B702)</f>
        <v>#NAME?</v>
      </c>
      <c r="E702" s="9" t="str">
        <f ca="1">IFERROR(__xludf.DUMMYFUNCTION("GOOGLETRANSLATE(B702,""zh"",""vi"")"),"#VALUE!")</f>
        <v>#VALUE!</v>
      </c>
      <c r="F702" s="9"/>
    </row>
    <row r="703" spans="1:6">
      <c r="A703" s="23">
        <v>702</v>
      </c>
      <c r="C703" s="11"/>
      <c r="D703" s="9" t="e">
        <f t="shared" ca="1" si="0"/>
        <v>#NAME?</v>
      </c>
      <c r="E703" s="9" t="str">
        <f ca="1">IFERROR(__xludf.DUMMYFUNCTION("GOOGLETRANSLATE(B703,""zh"",""vi"")"),"#VALUE!")</f>
        <v>#VALUE!</v>
      </c>
      <c r="F703" s="9"/>
    </row>
    <row r="704" spans="1:6">
      <c r="A704" s="23">
        <v>703</v>
      </c>
      <c r="C704" s="11"/>
      <c r="D704" s="9" t="e">
        <f t="shared" ca="1" si="0"/>
        <v>#NAME?</v>
      </c>
      <c r="E704" s="9" t="str">
        <f ca="1">IFERROR(__xludf.DUMMYFUNCTION("GOOGLETRANSLATE(B704,""zh"",""vi"")"),"#VALUE!")</f>
        <v>#VALUE!</v>
      </c>
      <c r="F704" s="9"/>
    </row>
    <row r="705" spans="1:6">
      <c r="A705" s="23">
        <v>704</v>
      </c>
      <c r="C705" s="11"/>
      <c r="D705" s="9" t="e">
        <f t="shared" ca="1" si="0"/>
        <v>#NAME?</v>
      </c>
      <c r="E705" s="9" t="str">
        <f ca="1">IFERROR(__xludf.DUMMYFUNCTION("GOOGLETRANSLATE(B705,""zh"",""vi"")"),"#VALUE!")</f>
        <v>#VALUE!</v>
      </c>
      <c r="F705" s="9"/>
    </row>
    <row r="706" spans="1:6">
      <c r="A706" s="23">
        <v>705</v>
      </c>
      <c r="C706" s="11"/>
      <c r="D706" s="9" t="e">
        <f t="shared" ca="1" si="0"/>
        <v>#NAME?</v>
      </c>
      <c r="E706" s="9" t="str">
        <f ca="1">IFERROR(__xludf.DUMMYFUNCTION("GOOGLETRANSLATE(B706,""zh"",""vi"")"),"#VALUE!")</f>
        <v>#VALUE!</v>
      </c>
      <c r="F706" s="9"/>
    </row>
    <row r="707" spans="1:6">
      <c r="A707" s="23">
        <v>706</v>
      </c>
      <c r="C707" s="11"/>
      <c r="D707" s="9" t="e">
        <f t="shared" ca="1" si="0"/>
        <v>#NAME?</v>
      </c>
      <c r="E707" s="9" t="str">
        <f ca="1">IFERROR(__xludf.DUMMYFUNCTION("GOOGLETRANSLATE(B707,""zh"",""vi"")"),"#VALUE!")</f>
        <v>#VALUE!</v>
      </c>
      <c r="F707" s="9"/>
    </row>
    <row r="708" spans="1:6">
      <c r="A708" s="23">
        <v>707</v>
      </c>
      <c r="C708" s="11"/>
      <c r="D708" s="9" t="e">
        <f t="shared" ca="1" si="0"/>
        <v>#NAME?</v>
      </c>
      <c r="E708" s="9" t="str">
        <f ca="1">IFERROR(__xludf.DUMMYFUNCTION("GOOGLETRANSLATE(B708,""zh"",""vi"")"),"#VALUE!")</f>
        <v>#VALUE!</v>
      </c>
      <c r="F708" s="9"/>
    </row>
    <row r="709" spans="1:6">
      <c r="A709" s="23">
        <v>708</v>
      </c>
      <c r="C709" s="11"/>
      <c r="D709" s="9" t="e">
        <f t="shared" ca="1" si="0"/>
        <v>#NAME?</v>
      </c>
      <c r="E709" s="9" t="str">
        <f ca="1">IFERROR(__xludf.DUMMYFUNCTION("GOOGLETRANSLATE(B709,""zh"",""vi"")"),"#VALUE!")</f>
        <v>#VALUE!</v>
      </c>
      <c r="F709" s="9"/>
    </row>
    <row r="710" spans="1:6">
      <c r="A710" s="23">
        <v>709</v>
      </c>
      <c r="C710" s="11"/>
      <c r="D710" s="9" t="e">
        <f t="shared" ca="1" si="0"/>
        <v>#NAME?</v>
      </c>
      <c r="E710" s="9" t="str">
        <f ca="1">IFERROR(__xludf.DUMMYFUNCTION("GOOGLETRANSLATE(B710,""zh"",""vi"")"),"#VALUE!")</f>
        <v>#VALUE!</v>
      </c>
      <c r="F710" s="9"/>
    </row>
    <row r="711" spans="1:6">
      <c r="A711" s="23">
        <v>710</v>
      </c>
      <c r="C711" s="11"/>
      <c r="D711" s="9" t="e">
        <f t="shared" ca="1" si="0"/>
        <v>#NAME?</v>
      </c>
      <c r="E711" s="9" t="str">
        <f ca="1">IFERROR(__xludf.DUMMYFUNCTION("GOOGLETRANSLATE(B711,""zh"",""vi"")"),"#VALUE!")</f>
        <v>#VALUE!</v>
      </c>
      <c r="F711" s="9"/>
    </row>
    <row r="712" spans="1:6">
      <c r="A712" s="23">
        <v>711</v>
      </c>
      <c r="C712" s="11"/>
      <c r="D712" s="9" t="e">
        <f t="shared" ca="1" si="0"/>
        <v>#NAME?</v>
      </c>
      <c r="E712" s="9" t="str">
        <f ca="1">IFERROR(__xludf.DUMMYFUNCTION("GOOGLETRANSLATE(B712,""zh"",""vi"")"),"#VALUE!")</f>
        <v>#VALUE!</v>
      </c>
      <c r="F712" s="9"/>
    </row>
    <row r="713" spans="1:6">
      <c r="A713" s="23">
        <v>712</v>
      </c>
      <c r="C713" s="11"/>
      <c r="D713" s="9" t="e">
        <f t="shared" ca="1" si="0"/>
        <v>#NAME?</v>
      </c>
      <c r="E713" s="9" t="str">
        <f ca="1">IFERROR(__xludf.DUMMYFUNCTION("GOOGLETRANSLATE(B713,""zh"",""vi"")"),"#VALUE!")</f>
        <v>#VALUE!</v>
      </c>
      <c r="F713" s="9"/>
    </row>
    <row r="714" spans="1:6">
      <c r="A714" s="23">
        <v>713</v>
      </c>
      <c r="C714" s="11"/>
      <c r="D714" s="9" t="e">
        <f t="shared" ca="1" si="0"/>
        <v>#NAME?</v>
      </c>
      <c r="E714" s="9" t="str">
        <f ca="1">IFERROR(__xludf.DUMMYFUNCTION("GOOGLETRANSLATE(B714,""zh"",""vi"")"),"#VALUE!")</f>
        <v>#VALUE!</v>
      </c>
      <c r="F714" s="9"/>
    </row>
    <row r="715" spans="1:6">
      <c r="A715" s="23">
        <v>714</v>
      </c>
      <c r="C715" s="11"/>
      <c r="D715" s="9" t="e">
        <f t="shared" ca="1" si="0"/>
        <v>#NAME?</v>
      </c>
      <c r="E715" s="9" t="str">
        <f ca="1">IFERROR(__xludf.DUMMYFUNCTION("GOOGLETRANSLATE(B715,""zh"",""vi"")"),"#VALUE!")</f>
        <v>#VALUE!</v>
      </c>
      <c r="F715" s="9"/>
    </row>
    <row r="716" spans="1:6">
      <c r="A716" s="23">
        <v>715</v>
      </c>
      <c r="C716" s="11"/>
      <c r="D716" s="9" t="e">
        <f t="shared" ca="1" si="0"/>
        <v>#NAME?</v>
      </c>
      <c r="E716" s="9" t="str">
        <f ca="1">IFERROR(__xludf.DUMMYFUNCTION("GOOGLETRANSLATE(B716,""zh"",""vi"")"),"#VALUE!")</f>
        <v>#VALUE!</v>
      </c>
      <c r="F716" s="9"/>
    </row>
    <row r="717" spans="1:6">
      <c r="A717" s="23">
        <v>716</v>
      </c>
      <c r="C717" s="11"/>
      <c r="D717" s="9" t="e">
        <f t="shared" ca="1" si="0"/>
        <v>#NAME?</v>
      </c>
      <c r="E717" s="9" t="str">
        <f ca="1">IFERROR(__xludf.DUMMYFUNCTION("GOOGLETRANSLATE(B717,""zh"",""vi"")"),"#VALUE!")</f>
        <v>#VALUE!</v>
      </c>
      <c r="F717" s="9"/>
    </row>
    <row r="718" spans="1:6">
      <c r="A718" s="23">
        <v>717</v>
      </c>
      <c r="C718" s="11"/>
      <c r="D718" s="9" t="e">
        <f t="shared" ca="1" si="0"/>
        <v>#NAME?</v>
      </c>
      <c r="E718" s="9" t="str">
        <f ca="1">IFERROR(__xludf.DUMMYFUNCTION("GOOGLETRANSLATE(B718,""zh"",""vi"")"),"#VALUE!")</f>
        <v>#VALUE!</v>
      </c>
      <c r="F718" s="9"/>
    </row>
    <row r="719" spans="1:6">
      <c r="A719" s="23">
        <v>718</v>
      </c>
      <c r="C719" s="11"/>
      <c r="D719" s="9" t="e">
        <f t="shared" ca="1" si="0"/>
        <v>#NAME?</v>
      </c>
      <c r="E719" s="9" t="str">
        <f ca="1">IFERROR(__xludf.DUMMYFUNCTION("GOOGLETRANSLATE(B719,""zh"",""vi"")"),"#VALUE!")</f>
        <v>#VALUE!</v>
      </c>
      <c r="F719" s="9"/>
    </row>
    <row r="720" spans="1:6">
      <c r="A720" s="23">
        <v>719</v>
      </c>
      <c r="C720" s="11"/>
      <c r="D720" s="9" t="e">
        <f t="shared" ca="1" si="0"/>
        <v>#NAME?</v>
      </c>
      <c r="E720" s="9" t="str">
        <f ca="1">IFERROR(__xludf.DUMMYFUNCTION("GOOGLETRANSLATE(B720,""zh"",""vi"")"),"#VALUE!")</f>
        <v>#VALUE!</v>
      </c>
      <c r="F720" s="9"/>
    </row>
    <row r="721" spans="1:6">
      <c r="A721" s="23">
        <v>720</v>
      </c>
      <c r="C721" s="11"/>
      <c r="D721" s="9" t="e">
        <f t="shared" ca="1" si="0"/>
        <v>#NAME?</v>
      </c>
      <c r="E721" s="9" t="str">
        <f ca="1">IFERROR(__xludf.DUMMYFUNCTION("GOOGLETRANSLATE(B721,""zh"",""vi"")"),"#VALUE!")</f>
        <v>#VALUE!</v>
      </c>
      <c r="F721" s="9"/>
    </row>
    <row r="722" spans="1:6">
      <c r="A722" s="23">
        <v>721</v>
      </c>
      <c r="C722" s="11"/>
      <c r="D722" s="9" t="e">
        <f t="shared" ca="1" si="0"/>
        <v>#NAME?</v>
      </c>
      <c r="E722" s="9" t="str">
        <f ca="1">IFERROR(__xludf.DUMMYFUNCTION("GOOGLETRANSLATE(B722,""zh"",""vi"")"),"#VALUE!")</f>
        <v>#VALUE!</v>
      </c>
      <c r="F722" s="9"/>
    </row>
    <row r="723" spans="1:6">
      <c r="A723" s="23">
        <v>722</v>
      </c>
      <c r="C723" s="11"/>
      <c r="D723" s="9" t="e">
        <f t="shared" ca="1" si="0"/>
        <v>#NAME?</v>
      </c>
      <c r="E723" s="9" t="str">
        <f ca="1">IFERROR(__xludf.DUMMYFUNCTION("GOOGLETRANSLATE(B723,""zh"",""vi"")"),"#VALUE!")</f>
        <v>#VALUE!</v>
      </c>
      <c r="F723" s="9"/>
    </row>
    <row r="724" spans="1:6">
      <c r="A724" s="23">
        <v>723</v>
      </c>
      <c r="C724" s="11"/>
      <c r="D724" s="9" t="e">
        <f t="shared" ca="1" si="0"/>
        <v>#NAME?</v>
      </c>
      <c r="E724" s="9" t="str">
        <f ca="1">IFERROR(__xludf.DUMMYFUNCTION("GOOGLETRANSLATE(B724,""zh"",""vi"")"),"#VALUE!")</f>
        <v>#VALUE!</v>
      </c>
      <c r="F724" s="9"/>
    </row>
    <row r="725" spans="1:6">
      <c r="A725" s="23">
        <v>724</v>
      </c>
      <c r="C725" s="11"/>
      <c r="D725" s="9" t="e">
        <f t="shared" ca="1" si="0"/>
        <v>#NAME?</v>
      </c>
      <c r="E725" s="9" t="str">
        <f ca="1">IFERROR(__xludf.DUMMYFUNCTION("GOOGLETRANSLATE(B725,""zh"",""vi"")"),"#VALUE!")</f>
        <v>#VALUE!</v>
      </c>
      <c r="F725" s="9"/>
    </row>
    <row r="726" spans="1:6">
      <c r="A726" s="23">
        <v>725</v>
      </c>
      <c r="C726" s="11"/>
      <c r="D726" s="9" t="e">
        <f t="shared" ca="1" si="0"/>
        <v>#NAME?</v>
      </c>
      <c r="E726" s="9" t="str">
        <f ca="1">IFERROR(__xludf.DUMMYFUNCTION("GOOGLETRANSLATE(B726,""zh"",""vi"")"),"#VALUE!")</f>
        <v>#VALUE!</v>
      </c>
      <c r="F726" s="9"/>
    </row>
    <row r="727" spans="1:6">
      <c r="A727" s="23">
        <v>726</v>
      </c>
      <c r="C727" s="11"/>
      <c r="D727" s="9" t="e">
        <f t="shared" ca="1" si="0"/>
        <v>#NAME?</v>
      </c>
      <c r="E727" s="9" t="str">
        <f ca="1">IFERROR(__xludf.DUMMYFUNCTION("GOOGLETRANSLATE(B727,""zh"",""vi"")"),"#VALUE!")</f>
        <v>#VALUE!</v>
      </c>
      <c r="F727" s="9"/>
    </row>
    <row r="728" spans="1:6">
      <c r="A728" s="23">
        <v>727</v>
      </c>
      <c r="C728" s="11"/>
      <c r="D728" s="9" t="e">
        <f t="shared" ca="1" si="0"/>
        <v>#NAME?</v>
      </c>
      <c r="E728" s="9" t="str">
        <f ca="1">IFERROR(__xludf.DUMMYFUNCTION("GOOGLETRANSLATE(B728,""zh"",""vi"")"),"#VALUE!")</f>
        <v>#VALUE!</v>
      </c>
      <c r="F728" s="9"/>
    </row>
    <row r="729" spans="1:6">
      <c r="A729" s="23">
        <v>728</v>
      </c>
      <c r="C729" s="11"/>
      <c r="D729" s="9" t="e">
        <f t="shared" ca="1" si="0"/>
        <v>#NAME?</v>
      </c>
      <c r="E729" s="9" t="str">
        <f ca="1">IFERROR(__xludf.DUMMYFUNCTION("GOOGLETRANSLATE(B729,""zh"",""vi"")"),"#VALUE!")</f>
        <v>#VALUE!</v>
      </c>
      <c r="F729" s="9"/>
    </row>
    <row r="730" spans="1:6">
      <c r="A730" s="23">
        <v>729</v>
      </c>
      <c r="C730" s="11"/>
      <c r="D730" s="9" t="e">
        <f t="shared" ca="1" si="0"/>
        <v>#NAME?</v>
      </c>
      <c r="E730" s="9" t="str">
        <f ca="1">IFERROR(__xludf.DUMMYFUNCTION("GOOGLETRANSLATE(B730,""zh"",""vi"")"),"#VALUE!")</f>
        <v>#VALUE!</v>
      </c>
      <c r="F730" s="9"/>
    </row>
    <row r="731" spans="1:6">
      <c r="A731" s="23">
        <v>730</v>
      </c>
      <c r="C731" s="11"/>
      <c r="D731" s="9" t="e">
        <f t="shared" ca="1" si="0"/>
        <v>#NAME?</v>
      </c>
      <c r="E731" s="9" t="str">
        <f ca="1">IFERROR(__xludf.DUMMYFUNCTION("GOOGLETRANSLATE(B731,""zh"",""vi"")"),"#VALUE!")</f>
        <v>#VALUE!</v>
      </c>
      <c r="F731" s="9"/>
    </row>
    <row r="732" spans="1:6">
      <c r="A732" s="23">
        <v>731</v>
      </c>
      <c r="C732" s="11"/>
      <c r="D732" s="9" t="e">
        <f t="shared" ca="1" si="0"/>
        <v>#NAME?</v>
      </c>
      <c r="E732" s="9" t="str">
        <f ca="1">IFERROR(__xludf.DUMMYFUNCTION("GOOGLETRANSLATE(B732,""zh"",""vi"")"),"#VALUE!")</f>
        <v>#VALUE!</v>
      </c>
      <c r="F732" s="9"/>
    </row>
    <row r="733" spans="1:6">
      <c r="A733" s="23">
        <v>732</v>
      </c>
      <c r="C733" s="11"/>
      <c r="D733" s="9" t="e">
        <f t="shared" ca="1" si="0"/>
        <v>#NAME?</v>
      </c>
      <c r="E733" s="9" t="str">
        <f ca="1">IFERROR(__xludf.DUMMYFUNCTION("GOOGLETRANSLATE(B733,""zh"",""vi"")"),"#VALUE!")</f>
        <v>#VALUE!</v>
      </c>
      <c r="F733" s="9"/>
    </row>
    <row r="734" spans="1:6">
      <c r="A734" s="23">
        <v>733</v>
      </c>
      <c r="C734" s="11"/>
      <c r="D734" s="9" t="e">
        <f t="shared" ca="1" si="0"/>
        <v>#NAME?</v>
      </c>
      <c r="E734" s="9" t="str">
        <f ca="1">IFERROR(__xludf.DUMMYFUNCTION("GOOGLETRANSLATE(B734,""zh"",""vi"")"),"#VALUE!")</f>
        <v>#VALUE!</v>
      </c>
      <c r="F734" s="9"/>
    </row>
    <row r="735" spans="1:6">
      <c r="A735" s="23">
        <v>734</v>
      </c>
      <c r="C735" s="11"/>
      <c r="D735" s="9" t="e">
        <f t="shared" ca="1" si="0"/>
        <v>#NAME?</v>
      </c>
      <c r="E735" s="9" t="str">
        <f ca="1">IFERROR(__xludf.DUMMYFUNCTION("GOOGLETRANSLATE(B735,""zh"",""vi"")"),"#VALUE!")</f>
        <v>#VALUE!</v>
      </c>
      <c r="F735" s="9"/>
    </row>
    <row r="736" spans="1:6">
      <c r="A736" s="23">
        <v>735</v>
      </c>
      <c r="C736" s="11"/>
      <c r="D736" s="9" t="e">
        <f t="shared" ca="1" si="0"/>
        <v>#NAME?</v>
      </c>
      <c r="E736" s="9" t="str">
        <f ca="1">IFERROR(__xludf.DUMMYFUNCTION("GOOGLETRANSLATE(B736,""zh"",""vi"")"),"#VALUE!")</f>
        <v>#VALUE!</v>
      </c>
      <c r="F736" s="9"/>
    </row>
    <row r="737" spans="1:6">
      <c r="A737" s="23">
        <v>736</v>
      </c>
      <c r="C737" s="11"/>
      <c r="D737" s="9" t="e">
        <f t="shared" ca="1" si="0"/>
        <v>#NAME?</v>
      </c>
      <c r="E737" s="9" t="str">
        <f ca="1">IFERROR(__xludf.DUMMYFUNCTION("GOOGLETRANSLATE(B737,""zh"",""vi"")"),"#VALUE!")</f>
        <v>#VALUE!</v>
      </c>
      <c r="F737" s="9"/>
    </row>
    <row r="738" spans="1:6">
      <c r="A738" s="23">
        <v>737</v>
      </c>
      <c r="C738" s="11"/>
      <c r="D738" s="9" t="e">
        <f t="shared" ca="1" si="0"/>
        <v>#NAME?</v>
      </c>
      <c r="E738" s="9" t="str">
        <f ca="1">IFERROR(__xludf.DUMMYFUNCTION("GOOGLETRANSLATE(B738,""zh"",""vi"")"),"#VALUE!")</f>
        <v>#VALUE!</v>
      </c>
      <c r="F738" s="9"/>
    </row>
    <row r="739" spans="1:6">
      <c r="A739" s="23">
        <v>738</v>
      </c>
      <c r="C739" s="11"/>
      <c r="D739" s="9" t="e">
        <f t="shared" ca="1" si="0"/>
        <v>#NAME?</v>
      </c>
      <c r="E739" s="9" t="str">
        <f ca="1">IFERROR(__xludf.DUMMYFUNCTION("GOOGLETRANSLATE(B739,""zh"",""vi"")"),"#VALUE!")</f>
        <v>#VALUE!</v>
      </c>
      <c r="F739" s="9"/>
    </row>
    <row r="740" spans="1:6">
      <c r="A740" s="23">
        <v>739</v>
      </c>
      <c r="C740" s="11"/>
      <c r="D740" s="9" t="e">
        <f t="shared" ca="1" si="0"/>
        <v>#NAME?</v>
      </c>
      <c r="E740" s="9" t="str">
        <f ca="1">IFERROR(__xludf.DUMMYFUNCTION("GOOGLETRANSLATE(B740,""zh"",""vi"")"),"#VALUE!")</f>
        <v>#VALUE!</v>
      </c>
      <c r="F740" s="9"/>
    </row>
    <row r="741" spans="1:6">
      <c r="A741" s="23">
        <v>740</v>
      </c>
      <c r="C741" s="11"/>
      <c r="D741" s="9" t="e">
        <f t="shared" ca="1" si="0"/>
        <v>#NAME?</v>
      </c>
      <c r="E741" s="9" t="str">
        <f ca="1">IFERROR(__xludf.DUMMYFUNCTION("GOOGLETRANSLATE(B741,""zh"",""vi"")"),"#VALUE!")</f>
        <v>#VALUE!</v>
      </c>
      <c r="F741" s="9"/>
    </row>
    <row r="742" spans="1:6">
      <c r="A742" s="23">
        <v>741</v>
      </c>
      <c r="C742" s="11"/>
      <c r="D742" s="9" t="e">
        <f t="shared" ca="1" si="0"/>
        <v>#NAME?</v>
      </c>
      <c r="E742" s="9" t="str">
        <f ca="1">IFERROR(__xludf.DUMMYFUNCTION("GOOGLETRANSLATE(B742,""zh"",""vi"")"),"#VALUE!")</f>
        <v>#VALUE!</v>
      </c>
      <c r="F742" s="9"/>
    </row>
    <row r="743" spans="1:6">
      <c r="A743" s="23">
        <v>742</v>
      </c>
      <c r="C743" s="11"/>
      <c r="D743" s="9" t="e">
        <f t="shared" ca="1" si="0"/>
        <v>#NAME?</v>
      </c>
      <c r="E743" s="9" t="str">
        <f ca="1">IFERROR(__xludf.DUMMYFUNCTION("GOOGLETRANSLATE(B743,""zh"",""vi"")"),"#VALUE!")</f>
        <v>#VALUE!</v>
      </c>
      <c r="F743" s="9"/>
    </row>
    <row r="744" spans="1:6">
      <c r="A744" s="23">
        <v>743</v>
      </c>
      <c r="C744" s="11"/>
      <c r="D744" s="9" t="e">
        <f t="shared" ca="1" si="0"/>
        <v>#NAME?</v>
      </c>
      <c r="E744" s="9" t="str">
        <f ca="1">IFERROR(__xludf.DUMMYFUNCTION("GOOGLETRANSLATE(B744,""zh"",""vi"")"),"#VALUE!")</f>
        <v>#VALUE!</v>
      </c>
      <c r="F744" s="9"/>
    </row>
    <row r="745" spans="1:6">
      <c r="A745" s="23">
        <v>744</v>
      </c>
      <c r="C745" s="11"/>
      <c r="D745" s="9" t="e">
        <f t="shared" ca="1" si="0"/>
        <v>#NAME?</v>
      </c>
      <c r="E745" s="9" t="str">
        <f ca="1">IFERROR(__xludf.DUMMYFUNCTION("GOOGLETRANSLATE(B745,""zh"",""vi"")"),"#VALUE!")</f>
        <v>#VALUE!</v>
      </c>
      <c r="F745" s="9"/>
    </row>
    <row r="746" spans="1:6">
      <c r="A746" s="23">
        <v>745</v>
      </c>
      <c r="C746" s="11"/>
      <c r="D746" s="9" t="e">
        <f t="shared" ca="1" si="0"/>
        <v>#NAME?</v>
      </c>
      <c r="E746" s="9" t="str">
        <f ca="1">IFERROR(__xludf.DUMMYFUNCTION("GOOGLETRANSLATE(B746,""zh"",""vi"")"),"#VALUE!")</f>
        <v>#VALUE!</v>
      </c>
      <c r="F746" s="9"/>
    </row>
    <row r="747" spans="1:6">
      <c r="A747" s="23">
        <v>746</v>
      </c>
      <c r="C747" s="11"/>
      <c r="D747" s="9" t="e">
        <f t="shared" ca="1" si="0"/>
        <v>#NAME?</v>
      </c>
      <c r="E747" s="9" t="str">
        <f ca="1">IFERROR(__xludf.DUMMYFUNCTION("GOOGLETRANSLATE(B747,""zh"",""vi"")"),"#VALUE!")</f>
        <v>#VALUE!</v>
      </c>
      <c r="F747" s="9"/>
    </row>
    <row r="748" spans="1:6">
      <c r="A748" s="23">
        <v>747</v>
      </c>
      <c r="C748" s="11"/>
      <c r="D748" s="9" t="e">
        <f t="shared" ca="1" si="0"/>
        <v>#NAME?</v>
      </c>
      <c r="E748" s="9" t="str">
        <f ca="1">IFERROR(__xludf.DUMMYFUNCTION("GOOGLETRANSLATE(B748,""zh"",""vi"")"),"#VALUE!")</f>
        <v>#VALUE!</v>
      </c>
      <c r="F748" s="9"/>
    </row>
    <row r="749" spans="1:6">
      <c r="A749" s="23">
        <v>748</v>
      </c>
      <c r="C749" s="11"/>
      <c r="D749" s="9" t="e">
        <f t="shared" ca="1" si="0"/>
        <v>#NAME?</v>
      </c>
      <c r="E749" s="9" t="str">
        <f ca="1">IFERROR(__xludf.DUMMYFUNCTION("GOOGLETRANSLATE(B749,""zh"",""vi"")"),"#VALUE!")</f>
        <v>#VALUE!</v>
      </c>
      <c r="F749" s="9"/>
    </row>
    <row r="750" spans="1:6">
      <c r="A750" s="23">
        <v>749</v>
      </c>
      <c r="C750" s="11"/>
      <c r="D750" s="9" t="e">
        <f t="shared" ca="1" si="0"/>
        <v>#NAME?</v>
      </c>
      <c r="E750" s="9" t="str">
        <f ca="1">IFERROR(__xludf.DUMMYFUNCTION("GOOGLETRANSLATE(B750,""zh"",""vi"")"),"#VALUE!")</f>
        <v>#VALUE!</v>
      </c>
      <c r="F750" s="9"/>
    </row>
    <row r="751" spans="1:6">
      <c r="A751" s="23">
        <v>750</v>
      </c>
      <c r="C751" s="11"/>
      <c r="D751" s="9" t="e">
        <f t="shared" ca="1" si="0"/>
        <v>#NAME?</v>
      </c>
      <c r="E751" s="9" t="str">
        <f ca="1">IFERROR(__xludf.DUMMYFUNCTION("GOOGLETRANSLATE(B751,""zh"",""vi"")"),"#VALUE!")</f>
        <v>#VALUE!</v>
      </c>
      <c r="F751" s="9"/>
    </row>
    <row r="752" spans="1:6">
      <c r="A752" s="23">
        <v>751</v>
      </c>
      <c r="C752" s="11"/>
      <c r="D752" s="9" t="e">
        <f t="shared" ca="1" si="0"/>
        <v>#NAME?</v>
      </c>
      <c r="E752" s="9" t="str">
        <f ca="1">IFERROR(__xludf.DUMMYFUNCTION("GOOGLETRANSLATE(B752,""zh"",""vi"")"),"#VALUE!")</f>
        <v>#VALUE!</v>
      </c>
      <c r="F752" s="9"/>
    </row>
    <row r="753" spans="1:6">
      <c r="A753" s="23">
        <v>752</v>
      </c>
      <c r="C753" s="11"/>
      <c r="D753" s="9" t="e">
        <f t="shared" ca="1" si="0"/>
        <v>#NAME?</v>
      </c>
      <c r="E753" s="9" t="str">
        <f ca="1">IFERROR(__xludf.DUMMYFUNCTION("GOOGLETRANSLATE(B753,""zh"",""vi"")"),"#VALUE!")</f>
        <v>#VALUE!</v>
      </c>
      <c r="F753" s="9"/>
    </row>
    <row r="754" spans="1:6">
      <c r="A754" s="23">
        <v>753</v>
      </c>
      <c r="C754" s="11"/>
      <c r="D754" s="9" t="e">
        <f t="shared" ca="1" si="0"/>
        <v>#NAME?</v>
      </c>
      <c r="E754" s="9" t="str">
        <f ca="1">IFERROR(__xludf.DUMMYFUNCTION("GOOGLETRANSLATE(B754,""zh"",""vi"")"),"#VALUE!")</f>
        <v>#VALUE!</v>
      </c>
      <c r="F754" s="9"/>
    </row>
    <row r="755" spans="1:6">
      <c r="A755" s="23">
        <v>754</v>
      </c>
      <c r="C755" s="11"/>
      <c r="D755" s="9" t="e">
        <f t="shared" ca="1" si="0"/>
        <v>#NAME?</v>
      </c>
      <c r="E755" s="9" t="str">
        <f ca="1">IFERROR(__xludf.DUMMYFUNCTION("GOOGLETRANSLATE(B755,""zh"",""vi"")"),"#VALUE!")</f>
        <v>#VALUE!</v>
      </c>
      <c r="F755" s="9"/>
    </row>
    <row r="756" spans="1:6">
      <c r="A756" s="23">
        <v>755</v>
      </c>
      <c r="C756" s="11"/>
      <c r="D756" s="9" t="e">
        <f t="shared" ca="1" si="0"/>
        <v>#NAME?</v>
      </c>
      <c r="E756" s="9" t="str">
        <f ca="1">IFERROR(__xludf.DUMMYFUNCTION("GOOGLETRANSLATE(B756,""zh"",""vi"")"),"#VALUE!")</f>
        <v>#VALUE!</v>
      </c>
      <c r="F756" s="9"/>
    </row>
    <row r="757" spans="1:6">
      <c r="A757" s="23">
        <v>756</v>
      </c>
      <c r="C757" s="11"/>
      <c r="D757" s="9" t="e">
        <f t="shared" ca="1" si="0"/>
        <v>#NAME?</v>
      </c>
      <c r="E757" s="9" t="str">
        <f ca="1">IFERROR(__xludf.DUMMYFUNCTION("GOOGLETRANSLATE(B757,""zh"",""vi"")"),"#VALUE!")</f>
        <v>#VALUE!</v>
      </c>
      <c r="F757" s="9"/>
    </row>
    <row r="758" spans="1:6">
      <c r="A758" s="23">
        <v>757</v>
      </c>
      <c r="C758" s="11"/>
      <c r="D758" s="9" t="e">
        <f t="shared" ca="1" si="0"/>
        <v>#NAME?</v>
      </c>
      <c r="E758" s="9" t="str">
        <f ca="1">IFERROR(__xludf.DUMMYFUNCTION("GOOGLETRANSLATE(B758,""zh"",""vi"")"),"#VALUE!")</f>
        <v>#VALUE!</v>
      </c>
      <c r="F758" s="9"/>
    </row>
    <row r="759" spans="1:6">
      <c r="A759" s="23">
        <v>758</v>
      </c>
      <c r="C759" s="11"/>
      <c r="D759" s="9" t="e">
        <f t="shared" ca="1" si="0"/>
        <v>#NAME?</v>
      </c>
      <c r="E759" s="9" t="str">
        <f ca="1">IFERROR(__xludf.DUMMYFUNCTION("GOOGLETRANSLATE(B759,""zh"",""vi"")"),"#VALUE!")</f>
        <v>#VALUE!</v>
      </c>
      <c r="F759" s="9"/>
    </row>
    <row r="760" spans="1:6">
      <c r="A760" s="23">
        <v>759</v>
      </c>
      <c r="C760" s="11"/>
      <c r="D760" s="9" t="e">
        <f t="shared" ca="1" si="0"/>
        <v>#NAME?</v>
      </c>
      <c r="E760" s="9" t="str">
        <f ca="1">IFERROR(__xludf.DUMMYFUNCTION("GOOGLETRANSLATE(B760,""zh"",""vi"")"),"#VALUE!")</f>
        <v>#VALUE!</v>
      </c>
      <c r="F760" s="9"/>
    </row>
    <row r="761" spans="1:6">
      <c r="A761" s="23">
        <v>760</v>
      </c>
      <c r="C761" s="11"/>
      <c r="D761" s="9" t="e">
        <f t="shared" ca="1" si="0"/>
        <v>#NAME?</v>
      </c>
      <c r="E761" s="9" t="str">
        <f ca="1">IFERROR(__xludf.DUMMYFUNCTION("GOOGLETRANSLATE(B761,""zh"",""vi"")"),"#VALUE!")</f>
        <v>#VALUE!</v>
      </c>
      <c r="F761" s="9"/>
    </row>
    <row r="762" spans="1:6">
      <c r="A762" s="23">
        <v>761</v>
      </c>
      <c r="C762" s="11"/>
      <c r="D762" s="9" t="e">
        <f t="shared" ca="1" si="0"/>
        <v>#NAME?</v>
      </c>
      <c r="E762" s="9" t="str">
        <f ca="1">IFERROR(__xludf.DUMMYFUNCTION("GOOGLETRANSLATE(B762,""zh"",""vi"")"),"#VALUE!")</f>
        <v>#VALUE!</v>
      </c>
      <c r="F762" s="9"/>
    </row>
    <row r="763" spans="1:6">
      <c r="A763" s="23">
        <v>762</v>
      </c>
      <c r="C763" s="11"/>
      <c r="D763" s="9" t="e">
        <f t="shared" ca="1" si="0"/>
        <v>#NAME?</v>
      </c>
      <c r="E763" s="9" t="str">
        <f ca="1">IFERROR(__xludf.DUMMYFUNCTION("GOOGLETRANSLATE(B763,""zh"",""vi"")"),"#VALUE!")</f>
        <v>#VALUE!</v>
      </c>
      <c r="F763" s="9"/>
    </row>
    <row r="764" spans="1:6">
      <c r="A764" s="23">
        <v>763</v>
      </c>
      <c r="C764" s="11"/>
      <c r="D764" s="9" t="e">
        <f t="shared" ca="1" si="0"/>
        <v>#NAME?</v>
      </c>
      <c r="E764" s="9" t="str">
        <f ca="1">IFERROR(__xludf.DUMMYFUNCTION("GOOGLETRANSLATE(B764,""zh"",""vi"")"),"#VALUE!")</f>
        <v>#VALUE!</v>
      </c>
      <c r="F764" s="9"/>
    </row>
    <row r="765" spans="1:6">
      <c r="A765" s="23">
        <v>764</v>
      </c>
      <c r="C765" s="11"/>
      <c r="D765" s="9" t="e">
        <f t="shared" ca="1" si="0"/>
        <v>#NAME?</v>
      </c>
      <c r="E765" s="9" t="str">
        <f ca="1">IFERROR(__xludf.DUMMYFUNCTION("GOOGLETRANSLATE(B765,""zh"",""vi"")"),"#VALUE!")</f>
        <v>#VALUE!</v>
      </c>
      <c r="F765" s="9"/>
    </row>
    <row r="766" spans="1:6">
      <c r="A766" s="23">
        <v>765</v>
      </c>
      <c r="C766" s="11"/>
      <c r="D766" s="9" t="e">
        <f t="shared" ca="1" si="0"/>
        <v>#NAME?</v>
      </c>
      <c r="E766" s="9" t="str">
        <f ca="1">IFERROR(__xludf.DUMMYFUNCTION("GOOGLETRANSLATE(B766,""zh"",""vi"")"),"#VALUE!")</f>
        <v>#VALUE!</v>
      </c>
      <c r="F766" s="9"/>
    </row>
    <row r="767" spans="1:6">
      <c r="A767" s="23">
        <v>766</v>
      </c>
      <c r="C767" s="11"/>
      <c r="D767" s="9" t="e">
        <f t="shared" ca="1" si="0"/>
        <v>#NAME?</v>
      </c>
      <c r="E767" s="9" t="str">
        <f ca="1">IFERROR(__xludf.DUMMYFUNCTION("GOOGLETRANSLATE(B767,""zh"",""vi"")"),"#VALUE!")</f>
        <v>#VALUE!</v>
      </c>
      <c r="F767" s="9"/>
    </row>
    <row r="768" spans="1:6">
      <c r="A768" s="23">
        <v>767</v>
      </c>
      <c r="C768" s="11"/>
      <c r="D768" s="9" t="e">
        <f t="shared" ca="1" si="0"/>
        <v>#NAME?</v>
      </c>
      <c r="E768" s="9" t="str">
        <f ca="1">IFERROR(__xludf.DUMMYFUNCTION("GOOGLETRANSLATE(B768,""zh"",""vi"")"),"#VALUE!")</f>
        <v>#VALUE!</v>
      </c>
      <c r="F768" s="9"/>
    </row>
    <row r="769" spans="1:6">
      <c r="A769" s="23">
        <v>768</v>
      </c>
      <c r="C769" s="11"/>
      <c r="D769" s="9" t="e">
        <f t="shared" ca="1" si="0"/>
        <v>#NAME?</v>
      </c>
      <c r="E769" s="9" t="str">
        <f ca="1">IFERROR(__xludf.DUMMYFUNCTION("GOOGLETRANSLATE(B769,""zh"",""vi"")"),"#VALUE!")</f>
        <v>#VALUE!</v>
      </c>
      <c r="F769" s="9"/>
    </row>
    <row r="770" spans="1:6">
      <c r="A770" s="23">
        <v>769</v>
      </c>
      <c r="C770" s="11"/>
      <c r="D770" s="9" t="e">
        <f t="shared" ca="1" si="0"/>
        <v>#NAME?</v>
      </c>
      <c r="E770" s="9" t="str">
        <f ca="1">IFERROR(__xludf.DUMMYFUNCTION("GOOGLETRANSLATE(B770,""zh"",""vi"")"),"#VALUE!")</f>
        <v>#VALUE!</v>
      </c>
      <c r="F770" s="9"/>
    </row>
    <row r="771" spans="1:6">
      <c r="A771" s="23">
        <v>770</v>
      </c>
      <c r="C771" s="11"/>
      <c r="D771" s="9" t="e">
        <f t="shared" ca="1" si="0"/>
        <v>#NAME?</v>
      </c>
      <c r="E771" s="9" t="str">
        <f ca="1">IFERROR(__xludf.DUMMYFUNCTION("GOOGLETRANSLATE(B771,""zh"",""vi"")"),"#VALUE!")</f>
        <v>#VALUE!</v>
      </c>
      <c r="F771" s="9"/>
    </row>
    <row r="772" spans="1:6">
      <c r="A772" s="23">
        <v>771</v>
      </c>
      <c r="C772" s="11"/>
      <c r="D772" s="9" t="e">
        <f t="shared" ca="1" si="0"/>
        <v>#NAME?</v>
      </c>
      <c r="E772" s="9" t="str">
        <f ca="1">IFERROR(__xludf.DUMMYFUNCTION("GOOGLETRANSLATE(B772,""zh"",""vi"")"),"#VALUE!")</f>
        <v>#VALUE!</v>
      </c>
      <c r="F772" s="9"/>
    </row>
    <row r="773" spans="1:6">
      <c r="A773" s="23">
        <v>772</v>
      </c>
      <c r="C773" s="11"/>
      <c r="D773" s="9" t="e">
        <f t="shared" ca="1" si="0"/>
        <v>#NAME?</v>
      </c>
      <c r="E773" s="9" t="str">
        <f ca="1">IFERROR(__xludf.DUMMYFUNCTION("GOOGLETRANSLATE(B773,""zh"",""vi"")"),"#VALUE!")</f>
        <v>#VALUE!</v>
      </c>
      <c r="F773" s="9"/>
    </row>
    <row r="774" spans="1:6">
      <c r="A774" s="23">
        <v>773</v>
      </c>
      <c r="C774" s="11"/>
      <c r="D774" s="9" t="e">
        <f t="shared" ca="1" si="0"/>
        <v>#NAME?</v>
      </c>
      <c r="E774" s="9" t="str">
        <f ca="1">IFERROR(__xludf.DUMMYFUNCTION("GOOGLETRANSLATE(B774,""zh"",""vi"")"),"#VALUE!")</f>
        <v>#VALUE!</v>
      </c>
      <c r="F774" s="9"/>
    </row>
    <row r="775" spans="1:6">
      <c r="A775" s="23">
        <v>774</v>
      </c>
      <c r="C775" s="11"/>
      <c r="D775" s="9" t="e">
        <f t="shared" ca="1" si="0"/>
        <v>#NAME?</v>
      </c>
      <c r="E775" s="9" t="str">
        <f ca="1">IFERROR(__xludf.DUMMYFUNCTION("GOOGLETRANSLATE(B775,""zh"",""vi"")"),"#VALUE!")</f>
        <v>#VALUE!</v>
      </c>
      <c r="F775" s="9"/>
    </row>
    <row r="776" spans="1:6">
      <c r="A776" s="23">
        <v>775</v>
      </c>
      <c r="C776" s="11"/>
      <c r="D776" s="9" t="e">
        <f t="shared" ca="1" si="0"/>
        <v>#NAME?</v>
      </c>
      <c r="E776" s="9" t="str">
        <f ca="1">IFERROR(__xludf.DUMMYFUNCTION("GOOGLETRANSLATE(B776,""zh"",""vi"")"),"#VALUE!")</f>
        <v>#VALUE!</v>
      </c>
      <c r="F776" s="9"/>
    </row>
    <row r="777" spans="1:6">
      <c r="A777" s="23">
        <v>776</v>
      </c>
      <c r="C777" s="11"/>
      <c r="D777" s="9" t="e">
        <f t="shared" ca="1" si="0"/>
        <v>#NAME?</v>
      </c>
      <c r="E777" s="9" t="str">
        <f ca="1">IFERROR(__xludf.DUMMYFUNCTION("GOOGLETRANSLATE(B777,""zh"",""vi"")"),"#VALUE!")</f>
        <v>#VALUE!</v>
      </c>
      <c r="F777" s="9"/>
    </row>
    <row r="778" spans="1:6">
      <c r="A778" s="23">
        <v>777</v>
      </c>
      <c r="C778" s="11"/>
      <c r="D778" s="9" t="e">
        <f t="shared" ca="1" si="0"/>
        <v>#NAME?</v>
      </c>
      <c r="E778" s="9" t="str">
        <f ca="1">IFERROR(__xludf.DUMMYFUNCTION("GOOGLETRANSLATE(B778,""zh"",""vi"")"),"#VALUE!")</f>
        <v>#VALUE!</v>
      </c>
      <c r="F778" s="9"/>
    </row>
    <row r="779" spans="1:6">
      <c r="A779" s="23">
        <v>778</v>
      </c>
      <c r="C779" s="11"/>
      <c r="D779" s="9" t="e">
        <f t="shared" ca="1" si="0"/>
        <v>#NAME?</v>
      </c>
      <c r="E779" s="9" t="str">
        <f ca="1">IFERROR(__xludf.DUMMYFUNCTION("GOOGLETRANSLATE(B779,""zh"",""vi"")"),"#VALUE!")</f>
        <v>#VALUE!</v>
      </c>
      <c r="F779" s="9"/>
    </row>
    <row r="780" spans="1:6">
      <c r="A780" s="23">
        <v>779</v>
      </c>
      <c r="C780" s="11"/>
      <c r="D780" s="9" t="e">
        <f t="shared" ca="1" si="0"/>
        <v>#NAME?</v>
      </c>
      <c r="E780" s="9" t="str">
        <f ca="1">IFERROR(__xludf.DUMMYFUNCTION("GOOGLETRANSLATE(B780,""zh"",""vi"")"),"#VALUE!")</f>
        <v>#VALUE!</v>
      </c>
      <c r="F780" s="9"/>
    </row>
    <row r="781" spans="1:6">
      <c r="A781" s="23">
        <v>780</v>
      </c>
      <c r="C781" s="11"/>
      <c r="D781" s="9" t="e">
        <f t="shared" ca="1" si="0"/>
        <v>#NAME?</v>
      </c>
      <c r="E781" s="9" t="str">
        <f ca="1">IFERROR(__xludf.DUMMYFUNCTION("GOOGLETRANSLATE(B781,""zh"",""vi"")"),"#VALUE!")</f>
        <v>#VALUE!</v>
      </c>
      <c r="F781" s="9"/>
    </row>
    <row r="782" spans="1:6">
      <c r="A782" s="23">
        <v>781</v>
      </c>
      <c r="C782" s="11"/>
      <c r="D782" s="9" t="e">
        <f t="shared" ca="1" si="0"/>
        <v>#NAME?</v>
      </c>
      <c r="E782" s="9" t="str">
        <f ca="1">IFERROR(__xludf.DUMMYFUNCTION("GOOGLETRANSLATE(B782,""zh"",""vi"")"),"#VALUE!")</f>
        <v>#VALUE!</v>
      </c>
      <c r="F782" s="9"/>
    </row>
    <row r="783" spans="1:6">
      <c r="A783" s="23">
        <v>782</v>
      </c>
      <c r="C783" s="11"/>
      <c r="D783" s="9" t="e">
        <f t="shared" ca="1" si="0"/>
        <v>#NAME?</v>
      </c>
      <c r="E783" s="9" t="str">
        <f ca="1">IFERROR(__xludf.DUMMYFUNCTION("GOOGLETRANSLATE(B783,""zh"",""vi"")"),"#VALUE!")</f>
        <v>#VALUE!</v>
      </c>
      <c r="F783" s="9"/>
    </row>
    <row r="784" spans="1:6">
      <c r="A784" s="23">
        <v>783</v>
      </c>
      <c r="C784" s="11"/>
      <c r="D784" s="9" t="e">
        <f t="shared" ca="1" si="0"/>
        <v>#NAME?</v>
      </c>
      <c r="E784" s="9" t="str">
        <f ca="1">IFERROR(__xludf.DUMMYFUNCTION("GOOGLETRANSLATE(B784,""zh"",""vi"")"),"#VALUE!")</f>
        <v>#VALUE!</v>
      </c>
      <c r="F784" s="9"/>
    </row>
    <row r="785" spans="1:6">
      <c r="A785" s="23">
        <v>784</v>
      </c>
      <c r="C785" s="11"/>
      <c r="D785" s="9" t="e">
        <f t="shared" ca="1" si="0"/>
        <v>#NAME?</v>
      </c>
      <c r="E785" s="9" t="str">
        <f ca="1">IFERROR(__xludf.DUMMYFUNCTION("GOOGLETRANSLATE(B785,""zh"",""vi"")"),"#VALUE!")</f>
        <v>#VALUE!</v>
      </c>
      <c r="F785" s="9"/>
    </row>
    <row r="786" spans="1:6">
      <c r="A786" s="23">
        <v>785</v>
      </c>
      <c r="C786" s="11"/>
      <c r="D786" s="9" t="e">
        <f t="shared" ca="1" si="0"/>
        <v>#NAME?</v>
      </c>
      <c r="E786" s="9" t="str">
        <f ca="1">IFERROR(__xludf.DUMMYFUNCTION("GOOGLETRANSLATE(B786,""zh"",""vi"")"),"#VALUE!")</f>
        <v>#VALUE!</v>
      </c>
      <c r="F786" s="9"/>
    </row>
    <row r="787" spans="1:6">
      <c r="A787" s="23">
        <v>786</v>
      </c>
      <c r="C787" s="11"/>
      <c r="D787" s="9" t="e">
        <f t="shared" ca="1" si="0"/>
        <v>#NAME?</v>
      </c>
      <c r="E787" s="9" t="str">
        <f ca="1">IFERROR(__xludf.DUMMYFUNCTION("GOOGLETRANSLATE(B787,""zh"",""vi"")"),"#VALUE!")</f>
        <v>#VALUE!</v>
      </c>
      <c r="F787" s="9"/>
    </row>
    <row r="788" spans="1:6">
      <c r="A788" s="23">
        <v>787</v>
      </c>
      <c r="C788" s="11"/>
      <c r="D788" s="9" t="e">
        <f t="shared" ca="1" si="0"/>
        <v>#NAME?</v>
      </c>
      <c r="E788" s="9" t="str">
        <f ca="1">IFERROR(__xludf.DUMMYFUNCTION("GOOGLETRANSLATE(B788,""zh"",""vi"")"),"#VALUE!")</f>
        <v>#VALUE!</v>
      </c>
      <c r="F788" s="9"/>
    </row>
    <row r="789" spans="1:6">
      <c r="A789" s="23">
        <v>788</v>
      </c>
      <c r="C789" s="11"/>
      <c r="D789" s="9" t="e">
        <f t="shared" ca="1" si="0"/>
        <v>#NAME?</v>
      </c>
      <c r="E789" s="9" t="str">
        <f ca="1">IFERROR(__xludf.DUMMYFUNCTION("GOOGLETRANSLATE(B789,""zh"",""vi"")"),"#VALUE!")</f>
        <v>#VALUE!</v>
      </c>
      <c r="F789" s="9"/>
    </row>
    <row r="790" spans="1:6">
      <c r="A790" s="23">
        <v>789</v>
      </c>
      <c r="C790" s="11"/>
      <c r="D790" s="9" t="e">
        <f t="shared" ca="1" si="0"/>
        <v>#NAME?</v>
      </c>
      <c r="E790" s="9" t="str">
        <f ca="1">IFERROR(__xludf.DUMMYFUNCTION("GOOGLETRANSLATE(B790,""zh"",""vi"")"),"#VALUE!")</f>
        <v>#VALUE!</v>
      </c>
      <c r="F790" s="9"/>
    </row>
    <row r="791" spans="1:6">
      <c r="A791" s="23">
        <v>790</v>
      </c>
      <c r="C791" s="11"/>
      <c r="D791" s="9" t="e">
        <f t="shared" ca="1" si="0"/>
        <v>#NAME?</v>
      </c>
      <c r="E791" s="9" t="str">
        <f ca="1">IFERROR(__xludf.DUMMYFUNCTION("GOOGLETRANSLATE(B791,""zh"",""vi"")"),"#VALUE!")</f>
        <v>#VALUE!</v>
      </c>
      <c r="F791" s="9"/>
    </row>
    <row r="792" spans="1:6">
      <c r="A792" s="23">
        <v>791</v>
      </c>
      <c r="C792" s="11"/>
      <c r="D792" s="9" t="e">
        <f t="shared" ca="1" si="0"/>
        <v>#NAME?</v>
      </c>
      <c r="E792" s="9" t="str">
        <f ca="1">IFERROR(__xludf.DUMMYFUNCTION("GOOGLETRANSLATE(B792,""zh"",""vi"")"),"#VALUE!")</f>
        <v>#VALUE!</v>
      </c>
      <c r="F792" s="9"/>
    </row>
    <row r="793" spans="1:6">
      <c r="A793" s="23">
        <v>792</v>
      </c>
      <c r="C793" s="11"/>
      <c r="D793" s="9" t="e">
        <f t="shared" ca="1" si="0"/>
        <v>#NAME?</v>
      </c>
      <c r="E793" s="9" t="str">
        <f ca="1">IFERROR(__xludf.DUMMYFUNCTION("GOOGLETRANSLATE(B793,""zh"",""vi"")"),"#VALUE!")</f>
        <v>#VALUE!</v>
      </c>
      <c r="F793" s="9"/>
    </row>
    <row r="794" spans="1:6">
      <c r="A794" s="23">
        <v>793</v>
      </c>
      <c r="C794" s="11"/>
      <c r="D794" s="9" t="e">
        <f t="shared" ca="1" si="0"/>
        <v>#NAME?</v>
      </c>
      <c r="E794" s="9" t="str">
        <f ca="1">IFERROR(__xludf.DUMMYFUNCTION("GOOGLETRANSLATE(B794,""zh"",""vi"")"),"#VALUE!")</f>
        <v>#VALUE!</v>
      </c>
      <c r="F794" s="9"/>
    </row>
    <row r="795" spans="1:6">
      <c r="A795" s="23">
        <v>794</v>
      </c>
      <c r="C795" s="11"/>
      <c r="D795" s="9" t="e">
        <f t="shared" ca="1" si="0"/>
        <v>#NAME?</v>
      </c>
      <c r="E795" s="9" t="str">
        <f ca="1">IFERROR(__xludf.DUMMYFUNCTION("GOOGLETRANSLATE(B795,""zh"",""vi"")"),"#VALUE!")</f>
        <v>#VALUE!</v>
      </c>
      <c r="F795" s="9"/>
    </row>
    <row r="796" spans="1:6">
      <c r="A796" s="23">
        <v>795</v>
      </c>
      <c r="C796" s="11"/>
      <c r="D796" s="9" t="e">
        <f t="shared" ca="1" si="0"/>
        <v>#NAME?</v>
      </c>
      <c r="E796" s="9" t="str">
        <f ca="1">IFERROR(__xludf.DUMMYFUNCTION("GOOGLETRANSLATE(B796,""zh"",""vi"")"),"#VALUE!")</f>
        <v>#VALUE!</v>
      </c>
      <c r="F796" s="9"/>
    </row>
    <row r="797" spans="1:6">
      <c r="A797" s="23">
        <v>796</v>
      </c>
      <c r="C797" s="11"/>
      <c r="D797" s="9" t="e">
        <f t="shared" ca="1" si="0"/>
        <v>#NAME?</v>
      </c>
      <c r="E797" s="9" t="str">
        <f ca="1">IFERROR(__xludf.DUMMYFUNCTION("GOOGLETRANSLATE(B797,""zh"",""vi"")"),"#VALUE!")</f>
        <v>#VALUE!</v>
      </c>
      <c r="F797" s="9"/>
    </row>
    <row r="798" spans="1:6">
      <c r="A798" s="23">
        <v>797</v>
      </c>
      <c r="C798" s="11"/>
      <c r="D798" s="9" t="e">
        <f t="shared" ca="1" si="0"/>
        <v>#NAME?</v>
      </c>
      <c r="E798" s="9" t="str">
        <f ca="1">IFERROR(__xludf.DUMMYFUNCTION("GOOGLETRANSLATE(B798,""zh"",""vi"")"),"#VALUE!")</f>
        <v>#VALUE!</v>
      </c>
      <c r="F798" s="9"/>
    </row>
    <row r="799" spans="1:6">
      <c r="A799" s="23">
        <v>798</v>
      </c>
      <c r="C799" s="11"/>
      <c r="D799" s="9" t="e">
        <f t="shared" ca="1" si="0"/>
        <v>#NAME?</v>
      </c>
      <c r="E799" s="9" t="str">
        <f ca="1">IFERROR(__xludf.DUMMYFUNCTION("GOOGLETRANSLATE(B799,""zh"",""vi"")"),"#VALUE!")</f>
        <v>#VALUE!</v>
      </c>
      <c r="F799" s="9"/>
    </row>
    <row r="800" spans="1:6">
      <c r="A800" s="23">
        <v>799</v>
      </c>
      <c r="C800" s="11"/>
      <c r="D800" s="9" t="e">
        <f t="shared" ca="1" si="0"/>
        <v>#NAME?</v>
      </c>
      <c r="E800" s="9" t="str">
        <f ca="1">IFERROR(__xludf.DUMMYFUNCTION("GOOGLETRANSLATE(B800,""zh"",""vi"")"),"#VALUE!")</f>
        <v>#VALUE!</v>
      </c>
      <c r="F800" s="9"/>
    </row>
    <row r="801" spans="1:6">
      <c r="A801" s="23">
        <v>800</v>
      </c>
      <c r="C801" s="11"/>
      <c r="D801" s="9" t="e">
        <f t="shared" ca="1" si="0"/>
        <v>#NAME?</v>
      </c>
      <c r="E801" s="9" t="str">
        <f ca="1">IFERROR(__xludf.DUMMYFUNCTION("GOOGLETRANSLATE(B801,""zh"",""vi"")"),"#VALUE!")</f>
        <v>#VALUE!</v>
      </c>
      <c r="F801" s="9"/>
    </row>
    <row r="802" spans="1:6">
      <c r="A802" s="23">
        <v>801</v>
      </c>
      <c r="C802" s="11"/>
      <c r="D802" s="9" t="e">
        <f t="shared" ca="1" si="0"/>
        <v>#NAME?</v>
      </c>
      <c r="E802" s="9" t="str">
        <f ca="1">IFERROR(__xludf.DUMMYFUNCTION("GOOGLETRANSLATE(B802,""zh"",""vi"")"),"#VALUE!")</f>
        <v>#VALUE!</v>
      </c>
      <c r="F802" s="9"/>
    </row>
    <row r="803" spans="1:6">
      <c r="A803" s="23">
        <v>802</v>
      </c>
      <c r="C803" s="11"/>
      <c r="D803" s="9" t="e">
        <f t="shared" ca="1" si="0"/>
        <v>#NAME?</v>
      </c>
      <c r="E803" s="9" t="str">
        <f ca="1">IFERROR(__xludf.DUMMYFUNCTION("GOOGLETRANSLATE(B803,""zh"",""vi"")"),"#VALUE!")</f>
        <v>#VALUE!</v>
      </c>
      <c r="F803" s="9"/>
    </row>
    <row r="804" spans="1:6">
      <c r="A804" s="23">
        <v>803</v>
      </c>
      <c r="C804" s="11"/>
      <c r="D804" s="9" t="e">
        <f t="shared" ca="1" si="0"/>
        <v>#NAME?</v>
      </c>
      <c r="E804" s="9" t="str">
        <f ca="1">IFERROR(__xludf.DUMMYFUNCTION("GOOGLETRANSLATE(B804,""zh"",""vi"")"),"#VALUE!")</f>
        <v>#VALUE!</v>
      </c>
      <c r="F804" s="9"/>
    </row>
    <row r="805" spans="1:6">
      <c r="A805" s="23">
        <v>804</v>
      </c>
      <c r="C805" s="11"/>
      <c r="D805" s="9" t="e">
        <f t="shared" ca="1" si="0"/>
        <v>#NAME?</v>
      </c>
      <c r="E805" s="9" t="str">
        <f ca="1">IFERROR(__xludf.DUMMYFUNCTION("GOOGLETRANSLATE(B805,""zh"",""vi"")"),"#VALUE!")</f>
        <v>#VALUE!</v>
      </c>
      <c r="F805" s="9"/>
    </row>
    <row r="806" spans="1:6">
      <c r="A806" s="23">
        <v>805</v>
      </c>
      <c r="C806" s="11"/>
      <c r="D806" s="9" t="e">
        <f t="shared" ca="1" si="0"/>
        <v>#NAME?</v>
      </c>
      <c r="E806" s="9" t="str">
        <f ca="1">IFERROR(__xludf.DUMMYFUNCTION("GOOGLETRANSLATE(B806,""zh"",""vi"")"),"#VALUE!")</f>
        <v>#VALUE!</v>
      </c>
      <c r="F806" s="9"/>
    </row>
    <row r="807" spans="1:6">
      <c r="A807" s="23">
        <v>806</v>
      </c>
      <c r="C807" s="11"/>
      <c r="D807" s="9" t="e">
        <f t="shared" ca="1" si="0"/>
        <v>#NAME?</v>
      </c>
      <c r="E807" s="9" t="str">
        <f ca="1">IFERROR(__xludf.DUMMYFUNCTION("GOOGLETRANSLATE(B807,""zh"",""vi"")"),"#VALUE!")</f>
        <v>#VALUE!</v>
      </c>
      <c r="F807" s="9"/>
    </row>
    <row r="808" spans="1:6">
      <c r="A808" s="23">
        <v>807</v>
      </c>
      <c r="C808" s="11"/>
      <c r="D808" s="9" t="e">
        <f t="shared" ca="1" si="0"/>
        <v>#NAME?</v>
      </c>
      <c r="E808" s="9" t="str">
        <f ca="1">IFERROR(__xludf.DUMMYFUNCTION("GOOGLETRANSLATE(B808,""zh"",""vi"")"),"#VALUE!")</f>
        <v>#VALUE!</v>
      </c>
      <c r="F808" s="9"/>
    </row>
    <row r="809" spans="1:6">
      <c r="A809" s="23">
        <v>808</v>
      </c>
      <c r="C809" s="11"/>
      <c r="D809" s="9" t="e">
        <f t="shared" ca="1" si="0"/>
        <v>#NAME?</v>
      </c>
      <c r="E809" s="9" t="str">
        <f ca="1">IFERROR(__xludf.DUMMYFUNCTION("GOOGLETRANSLATE(B809,""zh"",""vi"")"),"#VALUE!")</f>
        <v>#VALUE!</v>
      </c>
      <c r="F809" s="9"/>
    </row>
    <row r="810" spans="1:6">
      <c r="A810" s="23">
        <v>809</v>
      </c>
      <c r="C810" s="11"/>
      <c r="D810" s="9" t="e">
        <f t="shared" ca="1" si="0"/>
        <v>#NAME?</v>
      </c>
      <c r="E810" s="9" t="str">
        <f ca="1">IFERROR(__xludf.DUMMYFUNCTION("GOOGLETRANSLATE(B810,""zh"",""vi"")"),"#VALUE!")</f>
        <v>#VALUE!</v>
      </c>
      <c r="F810" s="9"/>
    </row>
    <row r="811" spans="1:6">
      <c r="A811" s="23">
        <v>810</v>
      </c>
      <c r="C811" s="11"/>
      <c r="D811" s="9" t="e">
        <f t="shared" ca="1" si="0"/>
        <v>#NAME?</v>
      </c>
      <c r="E811" s="9" t="str">
        <f ca="1">IFERROR(__xludf.DUMMYFUNCTION("GOOGLETRANSLATE(B811,""zh"",""vi"")"),"#VALUE!")</f>
        <v>#VALUE!</v>
      </c>
      <c r="F811" s="9"/>
    </row>
    <row r="812" spans="1:6">
      <c r="A812" s="23">
        <v>811</v>
      </c>
      <c r="C812" s="11"/>
      <c r="D812" s="9" t="e">
        <f t="shared" ca="1" si="0"/>
        <v>#NAME?</v>
      </c>
      <c r="E812" s="9" t="str">
        <f ca="1">IFERROR(__xludf.DUMMYFUNCTION("GOOGLETRANSLATE(B812,""zh"",""vi"")"),"#VALUE!")</f>
        <v>#VALUE!</v>
      </c>
      <c r="F812" s="9"/>
    </row>
    <row r="813" spans="1:6">
      <c r="A813" s="23">
        <v>812</v>
      </c>
      <c r="C813" s="11"/>
      <c r="D813" s="9" t="e">
        <f t="shared" ca="1" si="0"/>
        <v>#NAME?</v>
      </c>
      <c r="E813" s="9" t="str">
        <f ca="1">IFERROR(__xludf.DUMMYFUNCTION("GOOGLETRANSLATE(B813,""zh"",""vi"")"),"#VALUE!")</f>
        <v>#VALUE!</v>
      </c>
      <c r="F813" s="9"/>
    </row>
    <row r="814" spans="1:6">
      <c r="A814" s="23">
        <v>813</v>
      </c>
      <c r="C814" s="11"/>
      <c r="D814" s="9" t="e">
        <f t="shared" ca="1" si="0"/>
        <v>#NAME?</v>
      </c>
      <c r="E814" s="9" t="str">
        <f ca="1">IFERROR(__xludf.DUMMYFUNCTION("GOOGLETRANSLATE(B814,""zh"",""vi"")"),"#VALUE!")</f>
        <v>#VALUE!</v>
      </c>
      <c r="F814" s="9"/>
    </row>
    <row r="815" spans="1:6">
      <c r="A815" s="23">
        <v>814</v>
      </c>
      <c r="C815" s="11"/>
      <c r="D815" s="9" t="e">
        <f t="shared" ca="1" si="0"/>
        <v>#NAME?</v>
      </c>
      <c r="E815" s="9" t="str">
        <f ca="1">IFERROR(__xludf.DUMMYFUNCTION("GOOGLETRANSLATE(B815,""zh"",""vi"")"),"#VALUE!")</f>
        <v>#VALUE!</v>
      </c>
      <c r="F815" s="9"/>
    </row>
    <row r="816" spans="1:6">
      <c r="A816" s="23">
        <v>815</v>
      </c>
      <c r="C816" s="11"/>
      <c r="D816" s="9" t="e">
        <f t="shared" ca="1" si="0"/>
        <v>#NAME?</v>
      </c>
      <c r="E816" s="9" t="str">
        <f ca="1">IFERROR(__xludf.DUMMYFUNCTION("GOOGLETRANSLATE(B816,""zh"",""vi"")"),"#VALUE!")</f>
        <v>#VALUE!</v>
      </c>
      <c r="F816" s="9"/>
    </row>
    <row r="817" spans="1:6">
      <c r="A817" s="23">
        <v>816</v>
      </c>
      <c r="C817" s="11"/>
      <c r="D817" s="9" t="e">
        <f t="shared" ca="1" si="0"/>
        <v>#NAME?</v>
      </c>
      <c r="E817" s="9" t="str">
        <f ca="1">IFERROR(__xludf.DUMMYFUNCTION("GOOGLETRANSLATE(B817,""zh"",""vi"")"),"#VALUE!")</f>
        <v>#VALUE!</v>
      </c>
      <c r="F817" s="9"/>
    </row>
    <row r="818" spans="1:6">
      <c r="A818" s="23">
        <v>817</v>
      </c>
      <c r="C818" s="11"/>
      <c r="D818" s="9" t="e">
        <f t="shared" ca="1" si="0"/>
        <v>#NAME?</v>
      </c>
      <c r="E818" s="9" t="str">
        <f ca="1">IFERROR(__xludf.DUMMYFUNCTION("GOOGLETRANSLATE(B818,""zh"",""vi"")"),"#VALUE!")</f>
        <v>#VALUE!</v>
      </c>
      <c r="F818" s="9"/>
    </row>
    <row r="819" spans="1:6">
      <c r="A819" s="23">
        <v>818</v>
      </c>
      <c r="C819" s="11"/>
      <c r="D819" s="9" t="e">
        <f t="shared" ca="1" si="0"/>
        <v>#NAME?</v>
      </c>
      <c r="E819" s="9" t="str">
        <f ca="1">IFERROR(__xludf.DUMMYFUNCTION("GOOGLETRANSLATE(B819,""zh"",""vi"")"),"#VALUE!")</f>
        <v>#VALUE!</v>
      </c>
      <c r="F819" s="9"/>
    </row>
    <row r="820" spans="1:6">
      <c r="A820" s="23">
        <v>819</v>
      </c>
      <c r="C820" s="11"/>
      <c r="D820" s="9" t="e">
        <f t="shared" ca="1" si="0"/>
        <v>#NAME?</v>
      </c>
      <c r="E820" s="9" t="str">
        <f ca="1">IFERROR(__xludf.DUMMYFUNCTION("GOOGLETRANSLATE(B820,""zh"",""vi"")"),"#VALUE!")</f>
        <v>#VALUE!</v>
      </c>
      <c r="F820" s="9"/>
    </row>
    <row r="821" spans="1:6">
      <c r="A821" s="23">
        <v>820</v>
      </c>
      <c r="C821" s="11"/>
      <c r="D821" s="9" t="e">
        <f t="shared" ca="1" si="0"/>
        <v>#NAME?</v>
      </c>
      <c r="E821" s="9" t="str">
        <f ca="1">IFERROR(__xludf.DUMMYFUNCTION("GOOGLETRANSLATE(B821,""zh"",""vi"")"),"#VALUE!")</f>
        <v>#VALUE!</v>
      </c>
      <c r="F821" s="9"/>
    </row>
    <row r="822" spans="1:6">
      <c r="A822" s="23">
        <v>821</v>
      </c>
      <c r="C822" s="11"/>
      <c r="D822" s="9" t="e">
        <f t="shared" ca="1" si="0"/>
        <v>#NAME?</v>
      </c>
      <c r="E822" s="9" t="str">
        <f ca="1">IFERROR(__xludf.DUMMYFUNCTION("GOOGLETRANSLATE(B822,""zh"",""vi"")"),"#VALUE!")</f>
        <v>#VALUE!</v>
      </c>
      <c r="F822" s="9"/>
    </row>
    <row r="823" spans="1:6">
      <c r="A823" s="23">
        <v>822</v>
      </c>
      <c r="C823" s="11"/>
      <c r="D823" s="9" t="e">
        <f t="shared" ca="1" si="0"/>
        <v>#NAME?</v>
      </c>
      <c r="E823" s="9" t="str">
        <f ca="1">IFERROR(__xludf.DUMMYFUNCTION("GOOGLETRANSLATE(B823,""zh"",""vi"")"),"#VALUE!")</f>
        <v>#VALUE!</v>
      </c>
      <c r="F823" s="9"/>
    </row>
    <row r="824" spans="1:6">
      <c r="A824" s="23">
        <v>823</v>
      </c>
      <c r="C824" s="11"/>
      <c r="D824" s="9" t="e">
        <f t="shared" ca="1" si="0"/>
        <v>#NAME?</v>
      </c>
      <c r="E824" s="9" t="str">
        <f ca="1">IFERROR(__xludf.DUMMYFUNCTION("GOOGLETRANSLATE(B824,""zh"",""vi"")"),"#VALUE!")</f>
        <v>#VALUE!</v>
      </c>
      <c r="F824" s="9"/>
    </row>
    <row r="825" spans="1:6">
      <c r="A825" s="23">
        <v>824</v>
      </c>
      <c r="C825" s="11"/>
      <c r="D825" s="9" t="e">
        <f t="shared" ca="1" si="0"/>
        <v>#NAME?</v>
      </c>
      <c r="E825" s="9" t="str">
        <f ca="1">IFERROR(__xludf.DUMMYFUNCTION("GOOGLETRANSLATE(B825,""zh"",""vi"")"),"#VALUE!")</f>
        <v>#VALUE!</v>
      </c>
      <c r="F825" s="9"/>
    </row>
    <row r="826" spans="1:6">
      <c r="A826" s="23">
        <v>825</v>
      </c>
      <c r="C826" s="11"/>
      <c r="D826" s="9" t="e">
        <f t="shared" ca="1" si="0"/>
        <v>#NAME?</v>
      </c>
      <c r="E826" s="9" t="str">
        <f ca="1">IFERROR(__xludf.DUMMYFUNCTION("GOOGLETRANSLATE(B826,""zh"",""vi"")"),"#VALUE!")</f>
        <v>#VALUE!</v>
      </c>
      <c r="F826" s="9"/>
    </row>
    <row r="827" spans="1:6">
      <c r="A827" s="23">
        <v>826</v>
      </c>
      <c r="C827" s="11"/>
      <c r="D827" s="9" t="e">
        <f t="shared" ca="1" si="0"/>
        <v>#NAME?</v>
      </c>
      <c r="E827" s="9" t="str">
        <f ca="1">IFERROR(__xludf.DUMMYFUNCTION("GOOGLETRANSLATE(B827,""zh"",""vi"")"),"#VALUE!")</f>
        <v>#VALUE!</v>
      </c>
      <c r="F827" s="9"/>
    </row>
    <row r="828" spans="1:6">
      <c r="A828" s="23">
        <v>827</v>
      </c>
      <c r="C828" s="11"/>
      <c r="D828" s="9" t="e">
        <f t="shared" ca="1" si="0"/>
        <v>#NAME?</v>
      </c>
      <c r="E828" s="9" t="str">
        <f ca="1">IFERROR(__xludf.DUMMYFUNCTION("GOOGLETRANSLATE(B828,""zh"",""vi"")"),"#VALUE!")</f>
        <v>#VALUE!</v>
      </c>
      <c r="F828" s="9"/>
    </row>
    <row r="829" spans="1:6">
      <c r="A829" s="23">
        <v>828</v>
      </c>
      <c r="C829" s="11"/>
      <c r="D829" s="9" t="e">
        <f t="shared" ca="1" si="0"/>
        <v>#NAME?</v>
      </c>
      <c r="E829" s="9" t="str">
        <f ca="1">IFERROR(__xludf.DUMMYFUNCTION("GOOGLETRANSLATE(B829,""zh"",""vi"")"),"#VALUE!")</f>
        <v>#VALUE!</v>
      </c>
      <c r="F829" s="9"/>
    </row>
    <row r="830" spans="1:6">
      <c r="A830" s="23">
        <v>829</v>
      </c>
      <c r="C830" s="11"/>
      <c r="D830" s="9" t="e">
        <f t="shared" ca="1" si="0"/>
        <v>#NAME?</v>
      </c>
      <c r="E830" s="9" t="str">
        <f ca="1">IFERROR(__xludf.DUMMYFUNCTION("GOOGLETRANSLATE(B830,""zh"",""vi"")"),"#VALUE!")</f>
        <v>#VALUE!</v>
      </c>
      <c r="F830" s="9"/>
    </row>
    <row r="831" spans="1:6">
      <c r="A831" s="23">
        <v>830</v>
      </c>
      <c r="C831" s="11"/>
      <c r="D831" s="9" t="e">
        <f t="shared" ca="1" si="0"/>
        <v>#NAME?</v>
      </c>
      <c r="E831" s="9" t="str">
        <f ca="1">IFERROR(__xludf.DUMMYFUNCTION("GOOGLETRANSLATE(B831,""zh"",""vi"")"),"#VALUE!")</f>
        <v>#VALUE!</v>
      </c>
      <c r="F831" s="9"/>
    </row>
    <row r="832" spans="1:6">
      <c r="A832" s="23">
        <v>831</v>
      </c>
      <c r="C832" s="11"/>
      <c r="D832" s="9" t="e">
        <f t="shared" ca="1" si="0"/>
        <v>#NAME?</v>
      </c>
      <c r="E832" s="9" t="str">
        <f ca="1">IFERROR(__xludf.DUMMYFUNCTION("GOOGLETRANSLATE(B832,""zh"",""vi"")"),"#VALUE!")</f>
        <v>#VALUE!</v>
      </c>
      <c r="F832" s="9"/>
    </row>
    <row r="833" spans="1:6">
      <c r="A833" s="23">
        <v>832</v>
      </c>
      <c r="C833" s="11"/>
      <c r="D833" s="9" t="e">
        <f t="shared" ca="1" si="0"/>
        <v>#NAME?</v>
      </c>
      <c r="E833" s="9" t="str">
        <f ca="1">IFERROR(__xludf.DUMMYFUNCTION("GOOGLETRANSLATE(B833,""zh"",""vi"")"),"#VALUE!")</f>
        <v>#VALUE!</v>
      </c>
      <c r="F833" s="9"/>
    </row>
    <row r="834" spans="1:6">
      <c r="A834" s="23">
        <v>833</v>
      </c>
      <c r="C834" s="11"/>
      <c r="D834" s="9" t="e">
        <f t="shared" ca="1" si="0"/>
        <v>#NAME?</v>
      </c>
      <c r="E834" s="9" t="str">
        <f ca="1">IFERROR(__xludf.DUMMYFUNCTION("GOOGLETRANSLATE(B834,""zh"",""vi"")"),"#VALUE!")</f>
        <v>#VALUE!</v>
      </c>
      <c r="F834" s="9"/>
    </row>
    <row r="835" spans="1:6">
      <c r="A835" s="23">
        <v>834</v>
      </c>
      <c r="C835" s="11"/>
      <c r="D835" s="9" t="e">
        <f t="shared" ca="1" si="0"/>
        <v>#NAME?</v>
      </c>
      <c r="E835" s="9" t="str">
        <f ca="1">IFERROR(__xludf.DUMMYFUNCTION("GOOGLETRANSLATE(B835,""zh"",""vi"")"),"#VALUE!")</f>
        <v>#VALUE!</v>
      </c>
      <c r="F835" s="9"/>
    </row>
    <row r="836" spans="1:6">
      <c r="A836" s="23">
        <v>835</v>
      </c>
      <c r="C836" s="11"/>
      <c r="D836" s="9" t="e">
        <f t="shared" ca="1" si="0"/>
        <v>#NAME?</v>
      </c>
      <c r="E836" s="9" t="str">
        <f ca="1">IFERROR(__xludf.DUMMYFUNCTION("GOOGLETRANSLATE(B836,""zh"",""vi"")"),"#VALUE!")</f>
        <v>#VALUE!</v>
      </c>
      <c r="F836" s="9"/>
    </row>
    <row r="837" spans="1:6">
      <c r="A837" s="23">
        <v>836</v>
      </c>
      <c r="C837" s="11"/>
      <c r="D837" s="9" t="e">
        <f t="shared" ca="1" si="0"/>
        <v>#NAME?</v>
      </c>
      <c r="E837" s="9" t="str">
        <f ca="1">IFERROR(__xludf.DUMMYFUNCTION("GOOGLETRANSLATE(B837,""zh"",""vi"")"),"#VALUE!")</f>
        <v>#VALUE!</v>
      </c>
      <c r="F837" s="9"/>
    </row>
    <row r="838" spans="1:6">
      <c r="A838" s="23">
        <v>837</v>
      </c>
      <c r="C838" s="11"/>
      <c r="D838" s="9" t="e">
        <f t="shared" ca="1" si="0"/>
        <v>#NAME?</v>
      </c>
      <c r="E838" s="9" t="str">
        <f ca="1">IFERROR(__xludf.DUMMYFUNCTION("GOOGLETRANSLATE(B838,""zh"",""vi"")"),"#VALUE!")</f>
        <v>#VALUE!</v>
      </c>
      <c r="F838" s="9"/>
    </row>
    <row r="839" spans="1:6">
      <c r="A839" s="23">
        <v>838</v>
      </c>
      <c r="C839" s="11"/>
      <c r="D839" s="9" t="e">
        <f t="shared" ca="1" si="0"/>
        <v>#NAME?</v>
      </c>
      <c r="E839" s="9" t="str">
        <f ca="1">IFERROR(__xludf.DUMMYFUNCTION("GOOGLETRANSLATE(B839,""zh"",""vi"")"),"#VALUE!")</f>
        <v>#VALUE!</v>
      </c>
      <c r="F839" s="9"/>
    </row>
    <row r="840" spans="1:6">
      <c r="A840" s="23">
        <v>839</v>
      </c>
      <c r="C840" s="11"/>
      <c r="D840" s="9" t="e">
        <f t="shared" ca="1" si="0"/>
        <v>#NAME?</v>
      </c>
      <c r="E840" s="9" t="str">
        <f ca="1">IFERROR(__xludf.DUMMYFUNCTION("GOOGLETRANSLATE(B840,""zh"",""vi"")"),"#VALUE!")</f>
        <v>#VALUE!</v>
      </c>
      <c r="F840" s="9"/>
    </row>
    <row r="841" spans="1:6">
      <c r="A841" s="23">
        <v>840</v>
      </c>
      <c r="C841" s="11"/>
      <c r="D841" s="9" t="e">
        <f t="shared" ca="1" si="0"/>
        <v>#NAME?</v>
      </c>
      <c r="E841" s="9" t="str">
        <f ca="1">IFERROR(__xludf.DUMMYFUNCTION("GOOGLETRANSLATE(B841,""zh"",""vi"")"),"#VALUE!")</f>
        <v>#VALUE!</v>
      </c>
      <c r="F841" s="9"/>
    </row>
    <row r="842" spans="1:6">
      <c r="A842" s="23">
        <v>841</v>
      </c>
      <c r="C842" s="11"/>
      <c r="D842" s="9" t="e">
        <f t="shared" ca="1" si="0"/>
        <v>#NAME?</v>
      </c>
      <c r="E842" s="9" t="str">
        <f ca="1">IFERROR(__xludf.DUMMYFUNCTION("GOOGLETRANSLATE(B842,""zh"",""vi"")"),"#VALUE!")</f>
        <v>#VALUE!</v>
      </c>
      <c r="F842" s="9"/>
    </row>
    <row r="843" spans="1:6">
      <c r="A843" s="23">
        <v>842</v>
      </c>
      <c r="C843" s="11"/>
      <c r="D843" s="9" t="e">
        <f t="shared" ca="1" si="0"/>
        <v>#NAME?</v>
      </c>
      <c r="E843" s="9" t="str">
        <f ca="1">IFERROR(__xludf.DUMMYFUNCTION("GOOGLETRANSLATE(B843,""zh"",""vi"")"),"#VALUE!")</f>
        <v>#VALUE!</v>
      </c>
      <c r="F843" s="9"/>
    </row>
    <row r="844" spans="1:6">
      <c r="A844" s="23">
        <v>843</v>
      </c>
      <c r="C844" s="11"/>
      <c r="D844" s="9" t="e">
        <f t="shared" ca="1" si="0"/>
        <v>#NAME?</v>
      </c>
      <c r="E844" s="9" t="str">
        <f ca="1">IFERROR(__xludf.DUMMYFUNCTION("GOOGLETRANSLATE(B844,""zh"",""vi"")"),"#VALUE!")</f>
        <v>#VALUE!</v>
      </c>
      <c r="F844" s="9"/>
    </row>
    <row r="845" spans="1:6">
      <c r="A845" s="23">
        <v>844</v>
      </c>
      <c r="C845" s="11"/>
      <c r="D845" s="9" t="e">
        <f t="shared" ca="1" si="0"/>
        <v>#NAME?</v>
      </c>
      <c r="E845" s="9" t="str">
        <f ca="1">IFERROR(__xludf.DUMMYFUNCTION("GOOGLETRANSLATE(B845,""zh"",""vi"")"),"#VALUE!")</f>
        <v>#VALUE!</v>
      </c>
      <c r="F845" s="9"/>
    </row>
    <row r="846" spans="1:6">
      <c r="A846" s="23">
        <v>845</v>
      </c>
      <c r="C846" s="11"/>
      <c r="D846" s="9" t="e">
        <f t="shared" ca="1" si="0"/>
        <v>#NAME?</v>
      </c>
      <c r="E846" s="9" t="str">
        <f ca="1">IFERROR(__xludf.DUMMYFUNCTION("GOOGLETRANSLATE(B846,""zh"",""vi"")"),"#VALUE!")</f>
        <v>#VALUE!</v>
      </c>
      <c r="F846" s="9"/>
    </row>
    <row r="847" spans="1:6">
      <c r="A847" s="23">
        <v>846</v>
      </c>
      <c r="C847" s="11"/>
      <c r="D847" s="9" t="e">
        <f t="shared" ca="1" si="0"/>
        <v>#NAME?</v>
      </c>
      <c r="E847" s="9" t="str">
        <f ca="1">IFERROR(__xludf.DUMMYFUNCTION("GOOGLETRANSLATE(B847,""zh"",""vi"")"),"#VALUE!")</f>
        <v>#VALUE!</v>
      </c>
      <c r="F847" s="9"/>
    </row>
    <row r="848" spans="1:6">
      <c r="A848" s="23">
        <v>847</v>
      </c>
      <c r="C848" s="11"/>
      <c r="D848" s="9" t="e">
        <f t="shared" ca="1" si="0"/>
        <v>#NAME?</v>
      </c>
      <c r="E848" s="9" t="str">
        <f ca="1">IFERROR(__xludf.DUMMYFUNCTION("GOOGLETRANSLATE(B848,""zh"",""vi"")"),"#VALUE!")</f>
        <v>#VALUE!</v>
      </c>
      <c r="F848" s="9"/>
    </row>
    <row r="849" spans="1:6">
      <c r="A849" s="23">
        <v>848</v>
      </c>
      <c r="C849" s="11"/>
      <c r="D849" s="9" t="e">
        <f t="shared" ca="1" si="0"/>
        <v>#NAME?</v>
      </c>
      <c r="E849" s="9" t="str">
        <f ca="1">IFERROR(__xludf.DUMMYFUNCTION("GOOGLETRANSLATE(B849,""zh"",""vi"")"),"#VALUE!")</f>
        <v>#VALUE!</v>
      </c>
      <c r="F849" s="9"/>
    </row>
    <row r="850" spans="1:6">
      <c r="A850" s="23">
        <v>849</v>
      </c>
      <c r="C850" s="11"/>
      <c r="D850" s="9" t="e">
        <f t="shared" ca="1" si="0"/>
        <v>#NAME?</v>
      </c>
      <c r="E850" s="9" t="str">
        <f ca="1">IFERROR(__xludf.DUMMYFUNCTION("GOOGLETRANSLATE(B850,""zh"",""vi"")"),"#VALUE!")</f>
        <v>#VALUE!</v>
      </c>
      <c r="F850" s="9"/>
    </row>
    <row r="851" spans="1:6">
      <c r="A851" s="23">
        <v>850</v>
      </c>
      <c r="C851" s="11"/>
      <c r="D851" s="9" t="e">
        <f t="shared" ca="1" si="0"/>
        <v>#NAME?</v>
      </c>
      <c r="E851" s="9" t="str">
        <f ca="1">IFERROR(__xludf.DUMMYFUNCTION("GOOGLETRANSLATE(B851,""zh"",""vi"")"),"#VALUE!")</f>
        <v>#VALUE!</v>
      </c>
      <c r="F851" s="9"/>
    </row>
    <row r="852" spans="1:6">
      <c r="A852" s="23">
        <v>851</v>
      </c>
      <c r="C852" s="11"/>
      <c r="D852" s="9" t="e">
        <f t="shared" ca="1" si="0"/>
        <v>#NAME?</v>
      </c>
      <c r="E852" s="9" t="str">
        <f ca="1">IFERROR(__xludf.DUMMYFUNCTION("GOOGLETRANSLATE(B852,""zh"",""vi"")"),"#VALUE!")</f>
        <v>#VALUE!</v>
      </c>
      <c r="F852" s="9"/>
    </row>
    <row r="853" spans="1:6">
      <c r="A853" s="23">
        <v>852</v>
      </c>
      <c r="C853" s="11"/>
      <c r="D853" s="9" t="e">
        <f t="shared" ca="1" si="0"/>
        <v>#NAME?</v>
      </c>
      <c r="E853" s="9" t="str">
        <f ca="1">IFERROR(__xludf.DUMMYFUNCTION("GOOGLETRANSLATE(B853,""zh"",""vi"")"),"#VALUE!")</f>
        <v>#VALUE!</v>
      </c>
      <c r="F853" s="9"/>
    </row>
    <row r="854" spans="1:6">
      <c r="A854" s="23">
        <v>853</v>
      </c>
      <c r="C854" s="11"/>
      <c r="D854" s="9" t="e">
        <f t="shared" ca="1" si="0"/>
        <v>#NAME?</v>
      </c>
      <c r="E854" s="9" t="str">
        <f ca="1">IFERROR(__xludf.DUMMYFUNCTION("GOOGLETRANSLATE(B854,""zh"",""vi"")"),"#VALUE!")</f>
        <v>#VALUE!</v>
      </c>
      <c r="F854" s="9"/>
    </row>
    <row r="855" spans="1:6">
      <c r="A855" s="23">
        <v>854</v>
      </c>
      <c r="C855" s="11"/>
      <c r="D855" s="9" t="e">
        <f t="shared" ca="1" si="0"/>
        <v>#NAME?</v>
      </c>
      <c r="E855" s="9" t="str">
        <f ca="1">IFERROR(__xludf.DUMMYFUNCTION("GOOGLETRANSLATE(B855,""zh"",""vi"")"),"#VALUE!")</f>
        <v>#VALUE!</v>
      </c>
      <c r="F855" s="9"/>
    </row>
    <row r="856" spans="1:6">
      <c r="A856" s="23">
        <v>855</v>
      </c>
      <c r="C856" s="11"/>
      <c r="D856" s="9" t="e">
        <f t="shared" ca="1" si="0"/>
        <v>#NAME?</v>
      </c>
      <c r="E856" s="9" t="str">
        <f ca="1">IFERROR(__xludf.DUMMYFUNCTION("GOOGLETRANSLATE(B856,""zh"",""vi"")"),"#VALUE!")</f>
        <v>#VALUE!</v>
      </c>
      <c r="F856" s="9"/>
    </row>
    <row r="857" spans="1:6">
      <c r="A857" s="23">
        <v>856</v>
      </c>
      <c r="C857" s="11"/>
      <c r="D857" s="9" t="e">
        <f t="shared" ca="1" si="0"/>
        <v>#NAME?</v>
      </c>
      <c r="E857" s="9" t="str">
        <f ca="1">IFERROR(__xludf.DUMMYFUNCTION("GOOGLETRANSLATE(B857,""zh"",""vi"")"),"#VALUE!")</f>
        <v>#VALUE!</v>
      </c>
      <c r="F857" s="9"/>
    </row>
    <row r="858" spans="1:6">
      <c r="A858" s="23">
        <v>857</v>
      </c>
      <c r="C858" s="11"/>
      <c r="D858" s="9" t="e">
        <f t="shared" ca="1" si="0"/>
        <v>#NAME?</v>
      </c>
      <c r="E858" s="9" t="str">
        <f ca="1">IFERROR(__xludf.DUMMYFUNCTION("GOOGLETRANSLATE(B858,""zh"",""vi"")"),"#VALUE!")</f>
        <v>#VALUE!</v>
      </c>
      <c r="F858" s="9"/>
    </row>
    <row r="859" spans="1:6">
      <c r="A859" s="23">
        <v>858</v>
      </c>
      <c r="C859" s="11"/>
      <c r="D859" s="9" t="e">
        <f t="shared" ca="1" si="0"/>
        <v>#NAME?</v>
      </c>
      <c r="E859" s="9" t="str">
        <f ca="1">IFERROR(__xludf.DUMMYFUNCTION("GOOGLETRANSLATE(B859,""zh"",""vi"")"),"#VALUE!")</f>
        <v>#VALUE!</v>
      </c>
      <c r="F859" s="9"/>
    </row>
    <row r="860" spans="1:6">
      <c r="A860" s="23">
        <v>859</v>
      </c>
      <c r="C860" s="11"/>
      <c r="D860" s="9" t="e">
        <f t="shared" ca="1" si="0"/>
        <v>#NAME?</v>
      </c>
      <c r="E860" s="9" t="str">
        <f ca="1">IFERROR(__xludf.DUMMYFUNCTION("GOOGLETRANSLATE(B860,""zh"",""vi"")"),"#VALUE!")</f>
        <v>#VALUE!</v>
      </c>
      <c r="F860" s="9"/>
    </row>
    <row r="861" spans="1:6">
      <c r="A861" s="23">
        <v>860</v>
      </c>
      <c r="C861" s="11"/>
      <c r="D861" s="9" t="e">
        <f t="shared" ca="1" si="0"/>
        <v>#NAME?</v>
      </c>
      <c r="E861" s="9" t="str">
        <f ca="1">IFERROR(__xludf.DUMMYFUNCTION("GOOGLETRANSLATE(B861,""zh"",""vi"")"),"#VALUE!")</f>
        <v>#VALUE!</v>
      </c>
      <c r="F861" s="9"/>
    </row>
    <row r="862" spans="1:6">
      <c r="A862" s="23">
        <v>861</v>
      </c>
      <c r="C862" s="11"/>
      <c r="D862" s="9" t="e">
        <f t="shared" ca="1" si="0"/>
        <v>#NAME?</v>
      </c>
      <c r="E862" s="9" t="str">
        <f ca="1">IFERROR(__xludf.DUMMYFUNCTION("GOOGLETRANSLATE(B862,""zh"",""vi"")"),"#VALUE!")</f>
        <v>#VALUE!</v>
      </c>
      <c r="F862" s="9"/>
    </row>
    <row r="863" spans="1:6">
      <c r="A863" s="23">
        <v>862</v>
      </c>
      <c r="C863" s="11"/>
      <c r="D863" s="9" t="e">
        <f t="shared" ca="1" si="0"/>
        <v>#NAME?</v>
      </c>
      <c r="E863" s="9" t="str">
        <f ca="1">IFERROR(__xludf.DUMMYFUNCTION("GOOGLETRANSLATE(B863,""zh"",""vi"")"),"#VALUE!")</f>
        <v>#VALUE!</v>
      </c>
      <c r="F863" s="9"/>
    </row>
    <row r="864" spans="1:6">
      <c r="A864" s="23">
        <v>863</v>
      </c>
      <c r="C864" s="11"/>
      <c r="D864" s="9" t="e">
        <f t="shared" ca="1" si="0"/>
        <v>#NAME?</v>
      </c>
      <c r="E864" s="9" t="str">
        <f ca="1">IFERROR(__xludf.DUMMYFUNCTION("GOOGLETRANSLATE(B864,""zh"",""vi"")"),"#VALUE!")</f>
        <v>#VALUE!</v>
      </c>
      <c r="F864" s="9"/>
    </row>
    <row r="865" spans="1:6">
      <c r="A865" s="23">
        <v>864</v>
      </c>
      <c r="C865" s="11"/>
      <c r="D865" s="9" t="e">
        <f t="shared" ca="1" si="0"/>
        <v>#NAME?</v>
      </c>
      <c r="E865" s="9" t="str">
        <f ca="1">IFERROR(__xludf.DUMMYFUNCTION("GOOGLETRANSLATE(B865,""zh"",""vi"")"),"#VALUE!")</f>
        <v>#VALUE!</v>
      </c>
      <c r="F865" s="9"/>
    </row>
    <row r="866" spans="1:6">
      <c r="A866" s="23">
        <v>865</v>
      </c>
      <c r="C866" s="11"/>
      <c r="D866" s="9" t="e">
        <f t="shared" ca="1" si="0"/>
        <v>#NAME?</v>
      </c>
      <c r="E866" s="9" t="str">
        <f ca="1">IFERROR(__xludf.DUMMYFUNCTION("GOOGLETRANSLATE(B866,""zh"",""vi"")"),"#VALUE!")</f>
        <v>#VALUE!</v>
      </c>
      <c r="F866" s="9"/>
    </row>
    <row r="867" spans="1:6">
      <c r="A867" s="23">
        <v>866</v>
      </c>
      <c r="C867" s="11"/>
      <c r="D867" s="9" t="e">
        <f t="shared" ca="1" si="0"/>
        <v>#NAME?</v>
      </c>
      <c r="E867" s="9" t="str">
        <f ca="1">IFERROR(__xludf.DUMMYFUNCTION("GOOGLETRANSLATE(B867,""zh"",""vi"")"),"#VALUE!")</f>
        <v>#VALUE!</v>
      </c>
      <c r="F867" s="9"/>
    </row>
    <row r="868" spans="1:6">
      <c r="A868" s="23">
        <v>867</v>
      </c>
      <c r="C868" s="11"/>
      <c r="D868" s="9" t="e">
        <f t="shared" ca="1" si="0"/>
        <v>#NAME?</v>
      </c>
      <c r="E868" s="9" t="str">
        <f ca="1">IFERROR(__xludf.DUMMYFUNCTION("GOOGLETRANSLATE(B868,""zh"",""vi"")"),"#VALUE!")</f>
        <v>#VALUE!</v>
      </c>
      <c r="F868" s="9"/>
    </row>
    <row r="869" spans="1:6">
      <c r="A869" s="23">
        <v>868</v>
      </c>
      <c r="C869" s="11"/>
      <c r="D869" s="9" t="e">
        <f t="shared" ca="1" si="0"/>
        <v>#NAME?</v>
      </c>
      <c r="E869" s="9" t="str">
        <f ca="1">IFERROR(__xludf.DUMMYFUNCTION("GOOGLETRANSLATE(B869,""zh"",""vi"")"),"#VALUE!")</f>
        <v>#VALUE!</v>
      </c>
      <c r="F869" s="9"/>
    </row>
    <row r="870" spans="1:6">
      <c r="A870" s="23">
        <v>869</v>
      </c>
      <c r="C870" s="11"/>
      <c r="D870" s="9" t="e">
        <f t="shared" ca="1" si="0"/>
        <v>#NAME?</v>
      </c>
      <c r="E870" s="9" t="str">
        <f ca="1">IFERROR(__xludf.DUMMYFUNCTION("GOOGLETRANSLATE(B870,""zh"",""vi"")"),"#VALUE!")</f>
        <v>#VALUE!</v>
      </c>
      <c r="F870" s="9"/>
    </row>
    <row r="871" spans="1:6">
      <c r="A871" s="23">
        <v>870</v>
      </c>
      <c r="C871" s="11"/>
      <c r="D871" s="9" t="e">
        <f t="shared" ca="1" si="0"/>
        <v>#NAME?</v>
      </c>
      <c r="E871" s="9" t="str">
        <f ca="1">IFERROR(__xludf.DUMMYFUNCTION("GOOGLETRANSLATE(B871,""zh"",""vi"")"),"#VALUE!")</f>
        <v>#VALUE!</v>
      </c>
      <c r="F871" s="9"/>
    </row>
    <row r="872" spans="1:6">
      <c r="A872" s="23">
        <v>871</v>
      </c>
      <c r="C872" s="11"/>
      <c r="D872" s="9" t="e">
        <f t="shared" ca="1" si="0"/>
        <v>#NAME?</v>
      </c>
      <c r="E872" s="9" t="str">
        <f ca="1">IFERROR(__xludf.DUMMYFUNCTION("GOOGLETRANSLATE(B872,""zh"",""vi"")"),"#VALUE!")</f>
        <v>#VALUE!</v>
      </c>
      <c r="F872" s="9"/>
    </row>
    <row r="873" spans="1:6">
      <c r="A873" s="23">
        <v>872</v>
      </c>
      <c r="C873" s="11"/>
      <c r="D873" s="9" t="e">
        <f t="shared" ca="1" si="0"/>
        <v>#NAME?</v>
      </c>
      <c r="E873" s="9" t="str">
        <f ca="1">IFERROR(__xludf.DUMMYFUNCTION("GOOGLETRANSLATE(B873,""zh"",""vi"")"),"#VALUE!")</f>
        <v>#VALUE!</v>
      </c>
      <c r="F873" s="9"/>
    </row>
    <row r="874" spans="1:6">
      <c r="A874" s="23">
        <v>873</v>
      </c>
      <c r="C874" s="11"/>
      <c r="D874" s="9" t="e">
        <f t="shared" ca="1" si="0"/>
        <v>#NAME?</v>
      </c>
      <c r="E874" s="9" t="str">
        <f ca="1">IFERROR(__xludf.DUMMYFUNCTION("GOOGLETRANSLATE(B874,""zh"",""vi"")"),"#VALUE!")</f>
        <v>#VALUE!</v>
      </c>
      <c r="F874" s="9"/>
    </row>
    <row r="875" spans="1:6">
      <c r="A875" s="23">
        <v>874</v>
      </c>
      <c r="C875" s="11"/>
      <c r="D875" s="9" t="e">
        <f t="shared" ca="1" si="0"/>
        <v>#NAME?</v>
      </c>
      <c r="E875" s="9" t="str">
        <f ca="1">IFERROR(__xludf.DUMMYFUNCTION("GOOGLETRANSLATE(B875,""zh"",""vi"")"),"#VALUE!")</f>
        <v>#VALUE!</v>
      </c>
      <c r="F875" s="9"/>
    </row>
    <row r="876" spans="1:6">
      <c r="A876" s="23">
        <v>875</v>
      </c>
      <c r="C876" s="11"/>
      <c r="D876" s="9" t="e">
        <f t="shared" ca="1" si="0"/>
        <v>#NAME?</v>
      </c>
      <c r="E876" s="9" t="str">
        <f ca="1">IFERROR(__xludf.DUMMYFUNCTION("GOOGLETRANSLATE(B876,""zh"",""vi"")"),"#VALUE!")</f>
        <v>#VALUE!</v>
      </c>
      <c r="F876" s="9"/>
    </row>
    <row r="877" spans="1:6">
      <c r="A877" s="23">
        <v>876</v>
      </c>
      <c r="C877" s="11"/>
      <c r="D877" s="9" t="e">
        <f t="shared" ca="1" si="0"/>
        <v>#NAME?</v>
      </c>
      <c r="E877" s="9" t="str">
        <f ca="1">IFERROR(__xludf.DUMMYFUNCTION("GOOGLETRANSLATE(B877,""zh"",""vi"")"),"#VALUE!")</f>
        <v>#VALUE!</v>
      </c>
      <c r="F877" s="9"/>
    </row>
    <row r="878" spans="1:6">
      <c r="A878" s="23">
        <v>877</v>
      </c>
      <c r="C878" s="11"/>
      <c r="D878" s="9" t="e">
        <f t="shared" ca="1" si="0"/>
        <v>#NAME?</v>
      </c>
      <c r="E878" s="9" t="str">
        <f ca="1">IFERROR(__xludf.DUMMYFUNCTION("GOOGLETRANSLATE(B878,""zh"",""vi"")"),"#VALUE!")</f>
        <v>#VALUE!</v>
      </c>
      <c r="F878" s="9"/>
    </row>
    <row r="879" spans="1:6">
      <c r="A879" s="23">
        <v>878</v>
      </c>
      <c r="C879" s="11"/>
      <c r="D879" s="9" t="e">
        <f t="shared" ca="1" si="0"/>
        <v>#NAME?</v>
      </c>
      <c r="E879" s="9" t="str">
        <f ca="1">IFERROR(__xludf.DUMMYFUNCTION("GOOGLETRANSLATE(B879,""zh"",""vi"")"),"#VALUE!")</f>
        <v>#VALUE!</v>
      </c>
      <c r="F879" s="9"/>
    </row>
    <row r="880" spans="1:6">
      <c r="A880" s="23">
        <v>879</v>
      </c>
      <c r="C880" s="11"/>
      <c r="D880" s="9" t="e">
        <f t="shared" ca="1" si="0"/>
        <v>#NAME?</v>
      </c>
      <c r="E880" s="9" t="str">
        <f ca="1">IFERROR(__xludf.DUMMYFUNCTION("GOOGLETRANSLATE(B880,""zh"",""vi"")"),"#VALUE!")</f>
        <v>#VALUE!</v>
      </c>
      <c r="F880" s="9"/>
    </row>
    <row r="881" spans="1:6">
      <c r="A881" s="23">
        <v>880</v>
      </c>
      <c r="C881" s="11"/>
      <c r="D881" s="9" t="e">
        <f t="shared" ca="1" si="0"/>
        <v>#NAME?</v>
      </c>
      <c r="E881" s="9" t="str">
        <f ca="1">IFERROR(__xludf.DUMMYFUNCTION("GOOGLETRANSLATE(B881,""zh"",""vi"")"),"#VALUE!")</f>
        <v>#VALUE!</v>
      </c>
      <c r="F881" s="9"/>
    </row>
    <row r="882" spans="1:6">
      <c r="A882" s="23">
        <v>881</v>
      </c>
      <c r="C882" s="11"/>
      <c r="D882" s="9" t="e">
        <f t="shared" ca="1" si="0"/>
        <v>#NAME?</v>
      </c>
      <c r="E882" s="9" t="str">
        <f ca="1">IFERROR(__xludf.DUMMYFUNCTION("GOOGLETRANSLATE(B882,""zh"",""vi"")"),"#VALUE!")</f>
        <v>#VALUE!</v>
      </c>
      <c r="F882" s="9"/>
    </row>
    <row r="883" spans="1:6">
      <c r="A883" s="23">
        <v>882</v>
      </c>
      <c r="C883" s="11"/>
      <c r="D883" s="9" t="e">
        <f t="shared" ca="1" si="0"/>
        <v>#NAME?</v>
      </c>
      <c r="E883" s="9" t="str">
        <f ca="1">IFERROR(__xludf.DUMMYFUNCTION("GOOGLETRANSLATE(B883,""zh"",""vi"")"),"#VALUE!")</f>
        <v>#VALUE!</v>
      </c>
      <c r="F883" s="9"/>
    </row>
    <row r="884" spans="1:6">
      <c r="A884" s="23">
        <v>883</v>
      </c>
      <c r="C884" s="11"/>
      <c r="D884" s="9" t="e">
        <f t="shared" ca="1" si="0"/>
        <v>#NAME?</v>
      </c>
      <c r="E884" s="9" t="str">
        <f ca="1">IFERROR(__xludf.DUMMYFUNCTION("GOOGLETRANSLATE(B884,""zh"",""vi"")"),"#VALUE!")</f>
        <v>#VALUE!</v>
      </c>
      <c r="F884" s="9"/>
    </row>
    <row r="885" spans="1:6">
      <c r="A885" s="23">
        <v>884</v>
      </c>
      <c r="C885" s="11"/>
      <c r="D885" s="9" t="e">
        <f t="shared" ca="1" si="0"/>
        <v>#NAME?</v>
      </c>
      <c r="E885" s="9" t="str">
        <f ca="1">IFERROR(__xludf.DUMMYFUNCTION("GOOGLETRANSLATE(B885,""zh"",""vi"")"),"#VALUE!")</f>
        <v>#VALUE!</v>
      </c>
      <c r="F885" s="9"/>
    </row>
    <row r="886" spans="1:6">
      <c r="A886" s="23">
        <v>885</v>
      </c>
      <c r="C886" s="11"/>
      <c r="D886" s="9" t="e">
        <f t="shared" ca="1" si="0"/>
        <v>#NAME?</v>
      </c>
      <c r="E886" s="9" t="str">
        <f ca="1">IFERROR(__xludf.DUMMYFUNCTION("GOOGLETRANSLATE(B886,""zh"",""vi"")"),"#VALUE!")</f>
        <v>#VALUE!</v>
      </c>
      <c r="F886" s="9"/>
    </row>
    <row r="887" spans="1:6">
      <c r="A887" s="23">
        <v>886</v>
      </c>
      <c r="C887" s="11"/>
      <c r="D887" s="9" t="e">
        <f t="shared" ca="1" si="0"/>
        <v>#NAME?</v>
      </c>
      <c r="E887" s="9" t="str">
        <f ca="1">IFERROR(__xludf.DUMMYFUNCTION("GOOGLETRANSLATE(B887,""zh"",""vi"")"),"#VALUE!")</f>
        <v>#VALUE!</v>
      </c>
      <c r="F887" s="9"/>
    </row>
    <row r="888" spans="1:6">
      <c r="A888" s="23">
        <v>887</v>
      </c>
      <c r="C888" s="11"/>
      <c r="D888" s="9" t="e">
        <f t="shared" ca="1" si="0"/>
        <v>#NAME?</v>
      </c>
      <c r="E888" s="9" t="str">
        <f ca="1">IFERROR(__xludf.DUMMYFUNCTION("GOOGLETRANSLATE(B888,""zh"",""vi"")"),"#VALUE!")</f>
        <v>#VALUE!</v>
      </c>
      <c r="F888" s="9"/>
    </row>
    <row r="889" spans="1:6">
      <c r="A889" s="23">
        <v>888</v>
      </c>
      <c r="C889" s="11"/>
      <c r="D889" s="9" t="e">
        <f t="shared" ca="1" si="0"/>
        <v>#NAME?</v>
      </c>
      <c r="E889" s="9" t="str">
        <f ca="1">IFERROR(__xludf.DUMMYFUNCTION("GOOGLETRANSLATE(B889,""zh"",""vi"")"),"#VALUE!")</f>
        <v>#VALUE!</v>
      </c>
      <c r="F889" s="9"/>
    </row>
    <row r="890" spans="1:6">
      <c r="A890" s="23">
        <v>889</v>
      </c>
      <c r="C890" s="11"/>
      <c r="D890" s="9" t="e">
        <f t="shared" ca="1" si="0"/>
        <v>#NAME?</v>
      </c>
      <c r="E890" s="9" t="str">
        <f ca="1">IFERROR(__xludf.DUMMYFUNCTION("GOOGLETRANSLATE(B890,""zh"",""vi"")"),"#VALUE!")</f>
        <v>#VALUE!</v>
      </c>
      <c r="F890" s="9"/>
    </row>
    <row r="891" spans="1:6">
      <c r="A891" s="23">
        <v>890</v>
      </c>
      <c r="C891" s="11"/>
      <c r="D891" s="9" t="e">
        <f t="shared" ca="1" si="0"/>
        <v>#NAME?</v>
      </c>
      <c r="E891" s="9" t="str">
        <f ca="1">IFERROR(__xludf.DUMMYFUNCTION("GOOGLETRANSLATE(B891,""zh"",""vi"")"),"#VALUE!")</f>
        <v>#VALUE!</v>
      </c>
      <c r="F891" s="9"/>
    </row>
    <row r="892" spans="1:6">
      <c r="A892" s="23">
        <v>891</v>
      </c>
      <c r="C892" s="11"/>
      <c r="D892" s="9" t="e">
        <f t="shared" ca="1" si="0"/>
        <v>#NAME?</v>
      </c>
      <c r="E892" s="9" t="str">
        <f ca="1">IFERROR(__xludf.DUMMYFUNCTION("GOOGLETRANSLATE(B892,""zh"",""vi"")"),"#VALUE!")</f>
        <v>#VALUE!</v>
      </c>
      <c r="F892" s="9"/>
    </row>
    <row r="893" spans="1:6">
      <c r="A893" s="23">
        <v>892</v>
      </c>
      <c r="C893" s="11"/>
      <c r="D893" s="9" t="e">
        <f t="shared" ca="1" si="0"/>
        <v>#NAME?</v>
      </c>
      <c r="E893" s="9" t="str">
        <f ca="1">IFERROR(__xludf.DUMMYFUNCTION("GOOGLETRANSLATE(B893,""zh"",""vi"")"),"#VALUE!")</f>
        <v>#VALUE!</v>
      </c>
      <c r="F893" s="9"/>
    </row>
    <row r="894" spans="1:6">
      <c r="A894" s="23">
        <v>893</v>
      </c>
      <c r="C894" s="11"/>
      <c r="D894" s="9" t="e">
        <f t="shared" ca="1" si="0"/>
        <v>#NAME?</v>
      </c>
      <c r="E894" s="9" t="str">
        <f ca="1">IFERROR(__xludf.DUMMYFUNCTION("GOOGLETRANSLATE(B894,""zh"",""vi"")"),"#VALUE!")</f>
        <v>#VALUE!</v>
      </c>
      <c r="F894" s="9"/>
    </row>
    <row r="895" spans="1:6">
      <c r="A895" s="23">
        <v>894</v>
      </c>
      <c r="C895" s="11"/>
      <c r="D895" s="9" t="e">
        <f t="shared" ca="1" si="0"/>
        <v>#NAME?</v>
      </c>
      <c r="E895" s="9" t="str">
        <f ca="1">IFERROR(__xludf.DUMMYFUNCTION("GOOGLETRANSLATE(B895,""zh"",""vi"")"),"#VALUE!")</f>
        <v>#VALUE!</v>
      </c>
      <c r="F895" s="9"/>
    </row>
    <row r="896" spans="1:6">
      <c r="A896" s="23">
        <v>895</v>
      </c>
      <c r="C896" s="11"/>
      <c r="D896" s="9" t="e">
        <f t="shared" ca="1" si="0"/>
        <v>#NAME?</v>
      </c>
      <c r="E896" s="9" t="str">
        <f ca="1">IFERROR(__xludf.DUMMYFUNCTION("GOOGLETRANSLATE(B896,""zh"",""vi"")"),"#VALUE!")</f>
        <v>#VALUE!</v>
      </c>
      <c r="F896" s="9"/>
    </row>
    <row r="897" spans="1:6">
      <c r="A897" s="23">
        <v>896</v>
      </c>
      <c r="C897" s="11"/>
      <c r="D897" s="9" t="e">
        <f t="shared" ca="1" si="0"/>
        <v>#NAME?</v>
      </c>
      <c r="E897" s="9" t="str">
        <f ca="1">IFERROR(__xludf.DUMMYFUNCTION("GOOGLETRANSLATE(B897,""zh"",""vi"")"),"#VALUE!")</f>
        <v>#VALUE!</v>
      </c>
      <c r="F897" s="9"/>
    </row>
    <row r="898" spans="1:6">
      <c r="A898" s="23">
        <v>897</v>
      </c>
      <c r="C898" s="11"/>
      <c r="D898" s="9" t="e">
        <f t="shared" ca="1" si="0"/>
        <v>#NAME?</v>
      </c>
      <c r="E898" s="9" t="str">
        <f ca="1">IFERROR(__xludf.DUMMYFUNCTION("GOOGLETRANSLATE(B898,""zh"",""vi"")"),"#VALUE!")</f>
        <v>#VALUE!</v>
      </c>
      <c r="F898" s="9"/>
    </row>
    <row r="899" spans="1:6">
      <c r="A899" s="23">
        <v>898</v>
      </c>
      <c r="C899" s="11"/>
      <c r="D899" s="9" t="e">
        <f t="shared" ca="1" si="0"/>
        <v>#NAME?</v>
      </c>
      <c r="E899" s="9" t="str">
        <f ca="1">IFERROR(__xludf.DUMMYFUNCTION("GOOGLETRANSLATE(B899,""zh"",""vi"")"),"#VALUE!")</f>
        <v>#VALUE!</v>
      </c>
      <c r="F899" s="9"/>
    </row>
    <row r="900" spans="1:6">
      <c r="A900" s="23">
        <v>899</v>
      </c>
      <c r="C900" s="11"/>
      <c r="D900" s="9" t="e">
        <f t="shared" ca="1" si="0"/>
        <v>#NAME?</v>
      </c>
      <c r="E900" s="9" t="str">
        <f ca="1">IFERROR(__xludf.DUMMYFUNCTION("GOOGLETRANSLATE(B900,""zh"",""vi"")"),"#VALUE!")</f>
        <v>#VALUE!</v>
      </c>
      <c r="F900" s="9"/>
    </row>
    <row r="901" spans="1:6">
      <c r="A901" s="23">
        <v>900</v>
      </c>
      <c r="C901" s="11"/>
      <c r="D901" s="9" t="e">
        <f t="shared" ca="1" si="0"/>
        <v>#NAME?</v>
      </c>
      <c r="E901" s="9" t="str">
        <f ca="1">IFERROR(__xludf.DUMMYFUNCTION("GOOGLETRANSLATE(B901,""zh"",""vi"")"),"#VALUE!")</f>
        <v>#VALUE!</v>
      </c>
      <c r="F901" s="9"/>
    </row>
    <row r="902" spans="1:6">
      <c r="A902" s="23">
        <v>901</v>
      </c>
      <c r="C902" s="11"/>
      <c r="D902" s="9" t="e">
        <f t="shared" ca="1" si="0"/>
        <v>#NAME?</v>
      </c>
      <c r="E902" s="9" t="str">
        <f ca="1">IFERROR(__xludf.DUMMYFUNCTION("GOOGLETRANSLATE(B902,""zh"",""vi"")"),"#VALUE!")</f>
        <v>#VALUE!</v>
      </c>
      <c r="F902" s="9"/>
    </row>
    <row r="903" spans="1:6">
      <c r="A903" s="23">
        <v>902</v>
      </c>
      <c r="C903" s="11"/>
      <c r="D903" s="9" t="e">
        <f t="shared" ca="1" si="0"/>
        <v>#NAME?</v>
      </c>
      <c r="E903" s="9" t="str">
        <f ca="1">IFERROR(__xludf.DUMMYFUNCTION("GOOGLETRANSLATE(B903,""zh"",""vi"")"),"#VALUE!")</f>
        <v>#VALUE!</v>
      </c>
      <c r="F903" s="9"/>
    </row>
    <row r="904" spans="1:6">
      <c r="A904" s="23">
        <v>903</v>
      </c>
      <c r="C904" s="11"/>
      <c r="D904" s="9" t="e">
        <f t="shared" ca="1" si="0"/>
        <v>#NAME?</v>
      </c>
      <c r="E904" s="9" t="str">
        <f ca="1">IFERROR(__xludf.DUMMYFUNCTION("GOOGLETRANSLATE(B904,""zh"",""vi"")"),"#VALUE!")</f>
        <v>#VALUE!</v>
      </c>
      <c r="F904" s="9"/>
    </row>
    <row r="905" spans="1:6">
      <c r="A905" s="23">
        <v>904</v>
      </c>
      <c r="C905" s="11"/>
      <c r="D905" s="9" t="e">
        <f t="shared" ca="1" si="0"/>
        <v>#NAME?</v>
      </c>
      <c r="E905" s="9" t="str">
        <f ca="1">IFERROR(__xludf.DUMMYFUNCTION("GOOGLETRANSLATE(B905,""zh"",""vi"")"),"#VALUE!")</f>
        <v>#VALUE!</v>
      </c>
      <c r="F905" s="9"/>
    </row>
    <row r="906" spans="1:6">
      <c r="A906" s="23">
        <v>905</v>
      </c>
      <c r="C906" s="11"/>
      <c r="D906" s="9" t="e">
        <f t="shared" ca="1" si="0"/>
        <v>#NAME?</v>
      </c>
      <c r="E906" s="9" t="str">
        <f ca="1">IFERROR(__xludf.DUMMYFUNCTION("GOOGLETRANSLATE(B906,""zh"",""vi"")"),"#VALUE!")</f>
        <v>#VALUE!</v>
      </c>
      <c r="F906" s="9"/>
    </row>
    <row r="907" spans="1:6">
      <c r="A907" s="23">
        <v>906</v>
      </c>
      <c r="C907" s="11"/>
      <c r="D907" s="9" t="e">
        <f t="shared" ca="1" si="0"/>
        <v>#NAME?</v>
      </c>
      <c r="E907" s="9" t="str">
        <f ca="1">IFERROR(__xludf.DUMMYFUNCTION("GOOGLETRANSLATE(B907,""zh"",""vi"")"),"#VALUE!")</f>
        <v>#VALUE!</v>
      </c>
      <c r="F907" s="9"/>
    </row>
    <row r="908" spans="1:6">
      <c r="A908" s="23">
        <v>907</v>
      </c>
      <c r="C908" s="11"/>
      <c r="D908" s="9" t="e">
        <f t="shared" ca="1" si="0"/>
        <v>#NAME?</v>
      </c>
      <c r="E908" s="9" t="str">
        <f ca="1">IFERROR(__xludf.DUMMYFUNCTION("GOOGLETRANSLATE(B908,""zh"",""vi"")"),"#VALUE!")</f>
        <v>#VALUE!</v>
      </c>
      <c r="F908" s="9"/>
    </row>
    <row r="909" spans="1:6">
      <c r="A909" s="23">
        <v>908</v>
      </c>
      <c r="C909" s="11"/>
      <c r="D909" s="9" t="e">
        <f t="shared" ca="1" si="0"/>
        <v>#NAME?</v>
      </c>
      <c r="E909" s="9" t="str">
        <f ca="1">IFERROR(__xludf.DUMMYFUNCTION("GOOGLETRANSLATE(B909,""zh"",""vi"")"),"#VALUE!")</f>
        <v>#VALUE!</v>
      </c>
      <c r="F909" s="9"/>
    </row>
    <row r="910" spans="1:6">
      <c r="A910" s="23">
        <v>909</v>
      </c>
      <c r="C910" s="11"/>
      <c r="D910" s="9" t="e">
        <f t="shared" ca="1" si="0"/>
        <v>#NAME?</v>
      </c>
      <c r="E910" s="9" t="str">
        <f ca="1">IFERROR(__xludf.DUMMYFUNCTION("GOOGLETRANSLATE(B910,""zh"",""vi"")"),"#VALUE!")</f>
        <v>#VALUE!</v>
      </c>
      <c r="F910" s="9"/>
    </row>
    <row r="911" spans="1:6">
      <c r="A911" s="23">
        <v>910</v>
      </c>
      <c r="C911" s="11"/>
      <c r="D911" s="9" t="e">
        <f t="shared" ca="1" si="0"/>
        <v>#NAME?</v>
      </c>
      <c r="E911" s="9" t="str">
        <f ca="1">IFERROR(__xludf.DUMMYFUNCTION("GOOGLETRANSLATE(B911,""zh"",""vi"")"),"#VALUE!")</f>
        <v>#VALUE!</v>
      </c>
      <c r="F911" s="9"/>
    </row>
    <row r="912" spans="1:6">
      <c r="A912" s="23">
        <v>911</v>
      </c>
      <c r="C912" s="11"/>
      <c r="D912" s="9" t="e">
        <f t="shared" ca="1" si="0"/>
        <v>#NAME?</v>
      </c>
      <c r="E912" s="9" t="str">
        <f ca="1">IFERROR(__xludf.DUMMYFUNCTION("GOOGLETRANSLATE(B912,""zh"",""vi"")"),"#VALUE!")</f>
        <v>#VALUE!</v>
      </c>
      <c r="F912" s="9"/>
    </row>
    <row r="913" spans="1:6">
      <c r="A913" s="23">
        <v>912</v>
      </c>
      <c r="C913" s="11"/>
      <c r="D913" s="9" t="e">
        <f t="shared" ca="1" si="0"/>
        <v>#NAME?</v>
      </c>
      <c r="E913" s="9" t="str">
        <f ca="1">IFERROR(__xludf.DUMMYFUNCTION("GOOGLETRANSLATE(B913,""zh"",""vi"")"),"#VALUE!")</f>
        <v>#VALUE!</v>
      </c>
      <c r="F913" s="9"/>
    </row>
    <row r="914" spans="1:6">
      <c r="A914" s="23">
        <v>913</v>
      </c>
      <c r="C914" s="11"/>
      <c r="D914" s="9" t="e">
        <f t="shared" ca="1" si="0"/>
        <v>#NAME?</v>
      </c>
      <c r="E914" s="9" t="str">
        <f ca="1">IFERROR(__xludf.DUMMYFUNCTION("GOOGLETRANSLATE(B914,""zh"",""vi"")"),"#VALUE!")</f>
        <v>#VALUE!</v>
      </c>
      <c r="F914" s="9"/>
    </row>
    <row r="915" spans="1:6">
      <c r="A915" s="23">
        <v>914</v>
      </c>
      <c r="C915" s="11"/>
      <c r="D915" s="9" t="e">
        <f t="shared" ca="1" si="0"/>
        <v>#NAME?</v>
      </c>
      <c r="E915" s="9" t="str">
        <f ca="1">IFERROR(__xludf.DUMMYFUNCTION("GOOGLETRANSLATE(B915,""zh"",""vi"")"),"#VALUE!")</f>
        <v>#VALUE!</v>
      </c>
      <c r="F915" s="9"/>
    </row>
    <row r="916" spans="1:6">
      <c r="A916" s="23">
        <v>915</v>
      </c>
      <c r="C916" s="11"/>
      <c r="D916" s="9" t="e">
        <f t="shared" ca="1" si="0"/>
        <v>#NAME?</v>
      </c>
      <c r="E916" s="9" t="str">
        <f ca="1">IFERROR(__xludf.DUMMYFUNCTION("GOOGLETRANSLATE(B916,""zh"",""vi"")"),"#VALUE!")</f>
        <v>#VALUE!</v>
      </c>
      <c r="F916" s="9"/>
    </row>
    <row r="917" spans="1:6">
      <c r="A917" s="23">
        <v>916</v>
      </c>
      <c r="C917" s="11"/>
      <c r="D917" s="9" t="e">
        <f t="shared" ca="1" si="0"/>
        <v>#NAME?</v>
      </c>
      <c r="E917" s="9" t="str">
        <f ca="1">IFERROR(__xludf.DUMMYFUNCTION("GOOGLETRANSLATE(B917,""zh"",""vi"")"),"#VALUE!")</f>
        <v>#VALUE!</v>
      </c>
      <c r="F917" s="9"/>
    </row>
    <row r="918" spans="1:6">
      <c r="A918" s="23">
        <v>917</v>
      </c>
      <c r="C918" s="11"/>
      <c r="D918" s="9" t="e">
        <f t="shared" ca="1" si="0"/>
        <v>#NAME?</v>
      </c>
      <c r="E918" s="9" t="str">
        <f ca="1">IFERROR(__xludf.DUMMYFUNCTION("GOOGLETRANSLATE(B918,""zh"",""vi"")"),"#VALUE!")</f>
        <v>#VALUE!</v>
      </c>
      <c r="F918" s="9"/>
    </row>
    <row r="919" spans="1:6">
      <c r="A919" s="23">
        <v>918</v>
      </c>
      <c r="C919" s="11"/>
      <c r="D919" s="9" t="e">
        <f t="shared" ca="1" si="0"/>
        <v>#NAME?</v>
      </c>
      <c r="E919" s="9" t="str">
        <f ca="1">IFERROR(__xludf.DUMMYFUNCTION("GOOGLETRANSLATE(B919,""zh"",""vi"")"),"#VALUE!")</f>
        <v>#VALUE!</v>
      </c>
      <c r="F919" s="9"/>
    </row>
    <row r="920" spans="1:6">
      <c r="A920" s="23">
        <v>919</v>
      </c>
      <c r="C920" s="11"/>
      <c r="D920" s="9" t="e">
        <f t="shared" ca="1" si="0"/>
        <v>#NAME?</v>
      </c>
      <c r="E920" s="9" t="str">
        <f ca="1">IFERROR(__xludf.DUMMYFUNCTION("GOOGLETRANSLATE(B920,""zh"",""vi"")"),"#VALUE!")</f>
        <v>#VALUE!</v>
      </c>
      <c r="F920" s="9"/>
    </row>
    <row r="921" spans="1:6">
      <c r="A921" s="23">
        <v>920</v>
      </c>
      <c r="C921" s="11"/>
      <c r="D921" s="9" t="e">
        <f t="shared" ca="1" si="0"/>
        <v>#NAME?</v>
      </c>
      <c r="E921" s="9" t="str">
        <f ca="1">IFERROR(__xludf.DUMMYFUNCTION("GOOGLETRANSLATE(B921,""zh"",""vi"")"),"#VALUE!")</f>
        <v>#VALUE!</v>
      </c>
      <c r="F921" s="9"/>
    </row>
    <row r="922" spans="1:6">
      <c r="A922" s="23">
        <v>921</v>
      </c>
      <c r="C922" s="11"/>
      <c r="D922" s="9" t="e">
        <f t="shared" ca="1" si="0"/>
        <v>#NAME?</v>
      </c>
      <c r="E922" s="9" t="str">
        <f ca="1">IFERROR(__xludf.DUMMYFUNCTION("GOOGLETRANSLATE(B922,""zh"",""vi"")"),"#VALUE!")</f>
        <v>#VALUE!</v>
      </c>
      <c r="F922" s="9"/>
    </row>
    <row r="923" spans="1:6">
      <c r="A923" s="23">
        <v>922</v>
      </c>
      <c r="C923" s="11"/>
      <c r="D923" s="9" t="e">
        <f t="shared" ca="1" si="0"/>
        <v>#NAME?</v>
      </c>
      <c r="E923" s="9" t="str">
        <f ca="1">IFERROR(__xludf.DUMMYFUNCTION("GOOGLETRANSLATE(B923,""zh"",""vi"")"),"#VALUE!")</f>
        <v>#VALUE!</v>
      </c>
      <c r="F923" s="9"/>
    </row>
    <row r="924" spans="1:6">
      <c r="A924" s="23">
        <v>923</v>
      </c>
      <c r="C924" s="11"/>
      <c r="D924" s="9" t="e">
        <f t="shared" ca="1" si="0"/>
        <v>#NAME?</v>
      </c>
      <c r="E924" s="9" t="str">
        <f ca="1">IFERROR(__xludf.DUMMYFUNCTION("GOOGLETRANSLATE(B924,""zh"",""vi"")"),"#VALUE!")</f>
        <v>#VALUE!</v>
      </c>
      <c r="F924" s="9"/>
    </row>
    <row r="925" spans="1:6">
      <c r="A925" s="23">
        <v>924</v>
      </c>
      <c r="C925" s="11"/>
      <c r="D925" s="9" t="e">
        <f t="shared" ca="1" si="0"/>
        <v>#NAME?</v>
      </c>
      <c r="E925" s="9" t="str">
        <f ca="1">IFERROR(__xludf.DUMMYFUNCTION("GOOGLETRANSLATE(B925,""zh"",""vi"")"),"#VALUE!")</f>
        <v>#VALUE!</v>
      </c>
      <c r="F925" s="9"/>
    </row>
    <row r="926" spans="1:6">
      <c r="A926" s="23">
        <v>925</v>
      </c>
      <c r="C926" s="11"/>
      <c r="D926" s="9" t="e">
        <f t="shared" ca="1" si="0"/>
        <v>#NAME?</v>
      </c>
      <c r="E926" s="9" t="str">
        <f ca="1">IFERROR(__xludf.DUMMYFUNCTION("GOOGLETRANSLATE(B926,""zh"",""vi"")"),"#VALUE!")</f>
        <v>#VALUE!</v>
      </c>
      <c r="F926" s="9"/>
    </row>
    <row r="927" spans="1:6">
      <c r="A927" s="23">
        <v>926</v>
      </c>
      <c r="C927" s="11"/>
      <c r="D927" s="9" t="e">
        <f t="shared" ca="1" si="0"/>
        <v>#NAME?</v>
      </c>
      <c r="E927" s="9" t="str">
        <f ca="1">IFERROR(__xludf.DUMMYFUNCTION("GOOGLETRANSLATE(B927,""zh"",""vi"")"),"#VALUE!")</f>
        <v>#VALUE!</v>
      </c>
      <c r="F927" s="9"/>
    </row>
    <row r="928" spans="1:6">
      <c r="A928" s="23">
        <v>927</v>
      </c>
      <c r="C928" s="11"/>
      <c r="D928" s="9" t="e">
        <f t="shared" ca="1" si="0"/>
        <v>#NAME?</v>
      </c>
      <c r="E928" s="9" t="str">
        <f ca="1">IFERROR(__xludf.DUMMYFUNCTION("GOOGLETRANSLATE(B928,""zh"",""vi"")"),"#VALUE!")</f>
        <v>#VALUE!</v>
      </c>
      <c r="F928" s="9"/>
    </row>
    <row r="929" spans="1:6">
      <c r="A929" s="23">
        <v>928</v>
      </c>
      <c r="C929" s="11"/>
      <c r="D929" s="9" t="e">
        <f t="shared" ca="1" si="0"/>
        <v>#NAME?</v>
      </c>
      <c r="E929" s="9" t="str">
        <f ca="1">IFERROR(__xludf.DUMMYFUNCTION("GOOGLETRANSLATE(B929,""zh"",""vi"")"),"#VALUE!")</f>
        <v>#VALUE!</v>
      </c>
      <c r="F929" s="9"/>
    </row>
    <row r="930" spans="1:6">
      <c r="A930" s="23">
        <v>929</v>
      </c>
      <c r="C930" s="11"/>
      <c r="D930" s="9" t="e">
        <f t="shared" ca="1" si="0"/>
        <v>#NAME?</v>
      </c>
      <c r="E930" s="9" t="str">
        <f ca="1">IFERROR(__xludf.DUMMYFUNCTION("GOOGLETRANSLATE(B930,""zh"",""vi"")"),"#VALUE!")</f>
        <v>#VALUE!</v>
      </c>
      <c r="F930" s="9"/>
    </row>
    <row r="931" spans="1:6">
      <c r="A931" s="23">
        <v>930</v>
      </c>
      <c r="C931" s="11"/>
      <c r="D931" s="9" t="e">
        <f t="shared" ca="1" si="0"/>
        <v>#NAME?</v>
      </c>
      <c r="E931" s="9" t="str">
        <f ca="1">IFERROR(__xludf.DUMMYFUNCTION("GOOGLETRANSLATE(B931,""zh"",""vi"")"),"#VALUE!")</f>
        <v>#VALUE!</v>
      </c>
      <c r="F931" s="9"/>
    </row>
    <row r="932" spans="1:6">
      <c r="A932" s="23">
        <v>931</v>
      </c>
      <c r="C932" s="11"/>
      <c r="D932" s="9" t="e">
        <f t="shared" ca="1" si="0"/>
        <v>#NAME?</v>
      </c>
      <c r="E932" s="9" t="str">
        <f ca="1">IFERROR(__xludf.DUMMYFUNCTION("GOOGLETRANSLATE(B932,""zh"",""vi"")"),"#VALUE!")</f>
        <v>#VALUE!</v>
      </c>
      <c r="F932" s="9"/>
    </row>
    <row r="933" spans="1:6">
      <c r="A933" s="23">
        <v>932</v>
      </c>
      <c r="C933" s="11"/>
      <c r="D933" s="9" t="e">
        <f t="shared" ca="1" si="0"/>
        <v>#NAME?</v>
      </c>
      <c r="E933" s="9" t="str">
        <f ca="1">IFERROR(__xludf.DUMMYFUNCTION("GOOGLETRANSLATE(B933,""zh"",""vi"")"),"#VALUE!")</f>
        <v>#VALUE!</v>
      </c>
      <c r="F933" s="9"/>
    </row>
    <row r="934" spans="1:6">
      <c r="A934" s="23">
        <v>933</v>
      </c>
      <c r="C934" s="11"/>
      <c r="D934" s="9" t="e">
        <f t="shared" ca="1" si="0"/>
        <v>#NAME?</v>
      </c>
      <c r="E934" s="9" t="str">
        <f ca="1">IFERROR(__xludf.DUMMYFUNCTION("GOOGLETRANSLATE(B934,""zh"",""vi"")"),"#VALUE!")</f>
        <v>#VALUE!</v>
      </c>
      <c r="F934" s="9"/>
    </row>
    <row r="935" spans="1:6">
      <c r="A935" s="23">
        <v>934</v>
      </c>
      <c r="C935" s="11"/>
      <c r="D935" s="9" t="e">
        <f t="shared" ca="1" si="0"/>
        <v>#NAME?</v>
      </c>
      <c r="E935" s="9" t="str">
        <f ca="1">IFERROR(__xludf.DUMMYFUNCTION("GOOGLETRANSLATE(B935,""zh"",""vi"")"),"#VALUE!")</f>
        <v>#VALUE!</v>
      </c>
      <c r="F935" s="9"/>
    </row>
    <row r="936" spans="1:6">
      <c r="A936" s="23">
        <v>935</v>
      </c>
      <c r="C936" s="11"/>
      <c r="D936" s="9" t="e">
        <f t="shared" ca="1" si="0"/>
        <v>#NAME?</v>
      </c>
      <c r="E936" s="9" t="str">
        <f ca="1">IFERROR(__xludf.DUMMYFUNCTION("GOOGLETRANSLATE(B936,""zh"",""vi"")"),"#VALUE!")</f>
        <v>#VALUE!</v>
      </c>
      <c r="F936" s="9"/>
    </row>
    <row r="937" spans="1:6">
      <c r="A937" s="23">
        <v>936</v>
      </c>
      <c r="C937" s="11"/>
      <c r="D937" s="9" t="e">
        <f t="shared" ca="1" si="0"/>
        <v>#NAME?</v>
      </c>
      <c r="E937" s="9" t="str">
        <f ca="1">IFERROR(__xludf.DUMMYFUNCTION("GOOGLETRANSLATE(B937,""zh"",""vi"")"),"#VALUE!")</f>
        <v>#VALUE!</v>
      </c>
      <c r="F937" s="9"/>
    </row>
    <row r="938" spans="1:6">
      <c r="A938" s="23">
        <v>937</v>
      </c>
      <c r="C938" s="11"/>
      <c r="D938" s="9" t="e">
        <f t="shared" ca="1" si="0"/>
        <v>#NAME?</v>
      </c>
      <c r="E938" s="9" t="str">
        <f ca="1">IFERROR(__xludf.DUMMYFUNCTION("GOOGLETRANSLATE(B938,""zh"",""vi"")"),"#VALUE!")</f>
        <v>#VALUE!</v>
      </c>
      <c r="F938" s="9"/>
    </row>
    <row r="939" spans="1:6">
      <c r="A939" s="23">
        <v>938</v>
      </c>
      <c r="C939" s="11"/>
      <c r="D939" s="9" t="e">
        <f t="shared" ca="1" si="0"/>
        <v>#NAME?</v>
      </c>
      <c r="E939" s="9" t="str">
        <f ca="1">IFERROR(__xludf.DUMMYFUNCTION("GOOGLETRANSLATE(B939,""zh"",""vi"")"),"#VALUE!")</f>
        <v>#VALUE!</v>
      </c>
      <c r="F939" s="9"/>
    </row>
    <row r="940" spans="1:6">
      <c r="A940" s="23">
        <v>939</v>
      </c>
      <c r="C940" s="11"/>
      <c r="D940" s="9" t="e">
        <f t="shared" ca="1" si="0"/>
        <v>#NAME?</v>
      </c>
      <c r="E940" s="9" t="str">
        <f ca="1">IFERROR(__xludf.DUMMYFUNCTION("GOOGLETRANSLATE(B940,""zh"",""vi"")"),"#VALUE!")</f>
        <v>#VALUE!</v>
      </c>
      <c r="F940" s="9"/>
    </row>
    <row r="941" spans="1:6">
      <c r="A941" s="23">
        <v>940</v>
      </c>
      <c r="C941" s="11"/>
      <c r="D941" s="9" t="e">
        <f t="shared" ca="1" si="0"/>
        <v>#NAME?</v>
      </c>
      <c r="E941" s="9" t="str">
        <f ca="1">IFERROR(__xludf.DUMMYFUNCTION("GOOGLETRANSLATE(B941,""zh"",""vi"")"),"#VALUE!")</f>
        <v>#VALUE!</v>
      </c>
      <c r="F941" s="9"/>
    </row>
    <row r="942" spans="1:6">
      <c r="A942" s="23">
        <v>941</v>
      </c>
      <c r="C942" s="11"/>
      <c r="D942" s="9" t="e">
        <f t="shared" ca="1" si="0"/>
        <v>#NAME?</v>
      </c>
      <c r="E942" s="9" t="str">
        <f ca="1">IFERROR(__xludf.DUMMYFUNCTION("GOOGLETRANSLATE(B942,""zh"",""vi"")"),"#VALUE!")</f>
        <v>#VALUE!</v>
      </c>
      <c r="F942" s="9"/>
    </row>
    <row r="943" spans="1:6">
      <c r="A943" s="23">
        <v>942</v>
      </c>
      <c r="C943" s="11"/>
      <c r="D943" s="9" t="e">
        <f t="shared" ca="1" si="0"/>
        <v>#NAME?</v>
      </c>
      <c r="E943" s="9" t="str">
        <f ca="1">IFERROR(__xludf.DUMMYFUNCTION("GOOGLETRANSLATE(B943,""zh"",""vi"")"),"#VALUE!")</f>
        <v>#VALUE!</v>
      </c>
      <c r="F943" s="9"/>
    </row>
    <row r="944" spans="1:6">
      <c r="A944" s="23">
        <v>943</v>
      </c>
      <c r="C944" s="11"/>
      <c r="D944" s="9" t="e">
        <f t="shared" ca="1" si="0"/>
        <v>#NAME?</v>
      </c>
      <c r="E944" s="9" t="str">
        <f ca="1">IFERROR(__xludf.DUMMYFUNCTION("GOOGLETRANSLATE(B944,""zh"",""vi"")"),"#VALUE!")</f>
        <v>#VALUE!</v>
      </c>
      <c r="F944" s="9"/>
    </row>
    <row r="945" spans="1:6">
      <c r="A945" s="23">
        <v>944</v>
      </c>
      <c r="C945" s="11"/>
      <c r="D945" s="9" t="e">
        <f t="shared" ca="1" si="0"/>
        <v>#NAME?</v>
      </c>
      <c r="E945" s="9" t="str">
        <f ca="1">IFERROR(__xludf.DUMMYFUNCTION("GOOGLETRANSLATE(B945,""zh"",""vi"")"),"#VALUE!")</f>
        <v>#VALUE!</v>
      </c>
      <c r="F945" s="9"/>
    </row>
    <row r="946" spans="1:6">
      <c r="A946" s="23">
        <v>945</v>
      </c>
      <c r="C946" s="11"/>
      <c r="D946" s="9" t="e">
        <f t="shared" ca="1" si="0"/>
        <v>#NAME?</v>
      </c>
      <c r="E946" s="9" t="str">
        <f ca="1">IFERROR(__xludf.DUMMYFUNCTION("GOOGLETRANSLATE(B946,""zh"",""vi"")"),"#VALUE!")</f>
        <v>#VALUE!</v>
      </c>
      <c r="F946" s="9"/>
    </row>
    <row r="947" spans="1:6">
      <c r="A947" s="23">
        <v>946</v>
      </c>
      <c r="C947" s="11"/>
      <c r="D947" s="9" t="e">
        <f t="shared" ca="1" si="0"/>
        <v>#NAME?</v>
      </c>
      <c r="E947" s="9" t="str">
        <f ca="1">IFERROR(__xludf.DUMMYFUNCTION("GOOGLETRANSLATE(B947,""zh"",""vi"")"),"#VALUE!")</f>
        <v>#VALUE!</v>
      </c>
      <c r="F947" s="9"/>
    </row>
    <row r="948" spans="1:6">
      <c r="A948" s="23">
        <v>947</v>
      </c>
      <c r="C948" s="11"/>
      <c r="D948" s="9" t="e">
        <f t="shared" ca="1" si="0"/>
        <v>#NAME?</v>
      </c>
      <c r="E948" s="9" t="str">
        <f ca="1">IFERROR(__xludf.DUMMYFUNCTION("GOOGLETRANSLATE(B948,""zh"",""vi"")"),"#VALUE!")</f>
        <v>#VALUE!</v>
      </c>
      <c r="F948" s="9"/>
    </row>
    <row r="949" spans="1:6">
      <c r="A949" s="23">
        <v>948</v>
      </c>
      <c r="C949" s="11"/>
      <c r="D949" s="9" t="e">
        <f t="shared" ca="1" si="0"/>
        <v>#NAME?</v>
      </c>
      <c r="E949" s="9" t="str">
        <f ca="1">IFERROR(__xludf.DUMMYFUNCTION("GOOGLETRANSLATE(B949,""zh"",""vi"")"),"#VALUE!")</f>
        <v>#VALUE!</v>
      </c>
      <c r="F949" s="9"/>
    </row>
    <row r="950" spans="1:6">
      <c r="A950" s="23">
        <v>949</v>
      </c>
      <c r="C950" s="11"/>
      <c r="D950" s="9" t="e">
        <f t="shared" ca="1" si="0"/>
        <v>#NAME?</v>
      </c>
      <c r="E950" s="9" t="str">
        <f ca="1">IFERROR(__xludf.DUMMYFUNCTION("GOOGLETRANSLATE(B950,""zh"",""vi"")"),"#VALUE!")</f>
        <v>#VALUE!</v>
      </c>
      <c r="F950" s="9"/>
    </row>
    <row r="951" spans="1:6">
      <c r="A951" s="23">
        <v>950</v>
      </c>
      <c r="C951" s="11"/>
      <c r="D951" s="9" t="e">
        <f t="shared" ca="1" si="0"/>
        <v>#NAME?</v>
      </c>
      <c r="E951" s="9" t="str">
        <f ca="1">IFERROR(__xludf.DUMMYFUNCTION("GOOGLETRANSLATE(B951,""zh"",""vi"")"),"#VALUE!")</f>
        <v>#VALUE!</v>
      </c>
      <c r="F951" s="9"/>
    </row>
    <row r="952" spans="1:6">
      <c r="A952" s="23">
        <v>951</v>
      </c>
      <c r="C952" s="11"/>
      <c r="D952" s="9" t="e">
        <f t="shared" ca="1" si="0"/>
        <v>#NAME?</v>
      </c>
      <c r="E952" s="9" t="str">
        <f ca="1">IFERROR(__xludf.DUMMYFUNCTION("GOOGLETRANSLATE(B952,""zh"",""vi"")"),"#VALUE!")</f>
        <v>#VALUE!</v>
      </c>
      <c r="F952" s="9"/>
    </row>
    <row r="953" spans="1:6">
      <c r="A953" s="23">
        <v>952</v>
      </c>
      <c r="C953" s="11"/>
      <c r="D953" s="9" t="e">
        <f t="shared" ca="1" si="0"/>
        <v>#NAME?</v>
      </c>
      <c r="E953" s="9" t="str">
        <f ca="1">IFERROR(__xludf.DUMMYFUNCTION("GOOGLETRANSLATE(B953,""zh"",""vi"")"),"#VALUE!")</f>
        <v>#VALUE!</v>
      </c>
      <c r="F953" s="9"/>
    </row>
    <row r="954" spans="1:6">
      <c r="A954" s="23">
        <v>953</v>
      </c>
      <c r="C954" s="11"/>
      <c r="D954" s="9" t="e">
        <f t="shared" ca="1" si="0"/>
        <v>#NAME?</v>
      </c>
      <c r="E954" s="9" t="str">
        <f ca="1">IFERROR(__xludf.DUMMYFUNCTION("GOOGLETRANSLATE(B954,""zh"",""vi"")"),"#VALUE!")</f>
        <v>#VALUE!</v>
      </c>
      <c r="F954" s="9"/>
    </row>
    <row r="955" spans="1:6">
      <c r="A955" s="23">
        <v>954</v>
      </c>
      <c r="C955" s="11"/>
      <c r="D955" s="9" t="e">
        <f t="shared" ca="1" si="0"/>
        <v>#NAME?</v>
      </c>
      <c r="E955" s="9" t="str">
        <f ca="1">IFERROR(__xludf.DUMMYFUNCTION("GOOGLETRANSLATE(B955,""zh"",""vi"")"),"#VALUE!")</f>
        <v>#VALUE!</v>
      </c>
      <c r="F955" s="9"/>
    </row>
    <row r="956" spans="1:6">
      <c r="A956" s="23">
        <v>955</v>
      </c>
      <c r="C956" s="11"/>
      <c r="D956" s="9" t="e">
        <f t="shared" ca="1" si="0"/>
        <v>#NAME?</v>
      </c>
      <c r="E956" s="9" t="str">
        <f ca="1">IFERROR(__xludf.DUMMYFUNCTION("GOOGLETRANSLATE(B956,""zh"",""vi"")"),"#VALUE!")</f>
        <v>#VALUE!</v>
      </c>
      <c r="F956" s="9"/>
    </row>
    <row r="957" spans="1:6">
      <c r="A957" s="23">
        <v>956</v>
      </c>
      <c r="C957" s="11"/>
      <c r="D957" s="9" t="e">
        <f t="shared" ref="D957:D1000" ca="1" si="1">pinyin(B957)</f>
        <v>#NAME?</v>
      </c>
      <c r="E957" s="9" t="str">
        <f ca="1">IFERROR(__xludf.DUMMYFUNCTION("GOOGLETRANSLATE(B957,""zh"",""vi"")"),"#VALUE!")</f>
        <v>#VALUE!</v>
      </c>
      <c r="F957" s="9"/>
    </row>
    <row r="958" spans="1:6">
      <c r="A958" s="23">
        <v>957</v>
      </c>
      <c r="C958" s="11"/>
      <c r="D958" s="9" t="e">
        <f t="shared" ca="1" si="1"/>
        <v>#NAME?</v>
      </c>
      <c r="E958" s="9" t="str">
        <f ca="1">IFERROR(__xludf.DUMMYFUNCTION("GOOGLETRANSLATE(B958,""zh"",""vi"")"),"#VALUE!")</f>
        <v>#VALUE!</v>
      </c>
      <c r="F958" s="9"/>
    </row>
    <row r="959" spans="1:6">
      <c r="A959" s="23">
        <v>958</v>
      </c>
      <c r="C959" s="11"/>
      <c r="D959" s="9" t="e">
        <f t="shared" ca="1" si="1"/>
        <v>#NAME?</v>
      </c>
      <c r="E959" s="9" t="str">
        <f ca="1">IFERROR(__xludf.DUMMYFUNCTION("GOOGLETRANSLATE(B959,""zh"",""vi"")"),"#VALUE!")</f>
        <v>#VALUE!</v>
      </c>
      <c r="F959" s="9"/>
    </row>
    <row r="960" spans="1:6">
      <c r="A960" s="23">
        <v>959</v>
      </c>
      <c r="C960" s="11"/>
      <c r="D960" s="9" t="e">
        <f t="shared" ca="1" si="1"/>
        <v>#NAME?</v>
      </c>
      <c r="E960" s="9" t="str">
        <f ca="1">IFERROR(__xludf.DUMMYFUNCTION("GOOGLETRANSLATE(B960,""zh"",""vi"")"),"#VALUE!")</f>
        <v>#VALUE!</v>
      </c>
      <c r="F960" s="9"/>
    </row>
    <row r="961" spans="1:6">
      <c r="A961" s="23">
        <v>960</v>
      </c>
      <c r="C961" s="11"/>
      <c r="D961" s="9" t="e">
        <f t="shared" ca="1" si="1"/>
        <v>#NAME?</v>
      </c>
      <c r="E961" s="9" t="str">
        <f ca="1">IFERROR(__xludf.DUMMYFUNCTION("GOOGLETRANSLATE(B961,""zh"",""vi"")"),"#VALUE!")</f>
        <v>#VALUE!</v>
      </c>
      <c r="F961" s="9"/>
    </row>
    <row r="962" spans="1:6">
      <c r="A962" s="23">
        <v>961</v>
      </c>
      <c r="C962" s="11"/>
      <c r="D962" s="9" t="e">
        <f t="shared" ca="1" si="1"/>
        <v>#NAME?</v>
      </c>
      <c r="E962" s="9" t="str">
        <f ca="1">IFERROR(__xludf.DUMMYFUNCTION("GOOGLETRANSLATE(B962,""zh"",""vi"")"),"#VALUE!")</f>
        <v>#VALUE!</v>
      </c>
      <c r="F962" s="9"/>
    </row>
    <row r="963" spans="1:6">
      <c r="A963" s="23">
        <v>962</v>
      </c>
      <c r="C963" s="11"/>
      <c r="D963" s="9" t="e">
        <f t="shared" ca="1" si="1"/>
        <v>#NAME?</v>
      </c>
      <c r="E963" s="9" t="str">
        <f ca="1">IFERROR(__xludf.DUMMYFUNCTION("GOOGLETRANSLATE(B963,""zh"",""vi"")"),"#VALUE!")</f>
        <v>#VALUE!</v>
      </c>
      <c r="F963" s="9"/>
    </row>
    <row r="964" spans="1:6">
      <c r="A964" s="23">
        <v>963</v>
      </c>
      <c r="C964" s="11"/>
      <c r="D964" s="9" t="e">
        <f t="shared" ca="1" si="1"/>
        <v>#NAME?</v>
      </c>
      <c r="E964" s="9" t="str">
        <f ca="1">IFERROR(__xludf.DUMMYFUNCTION("GOOGLETRANSLATE(B964,""zh"",""vi"")"),"#VALUE!")</f>
        <v>#VALUE!</v>
      </c>
      <c r="F964" s="9"/>
    </row>
    <row r="965" spans="1:6">
      <c r="A965" s="23">
        <v>964</v>
      </c>
      <c r="C965" s="11"/>
      <c r="D965" s="9" t="e">
        <f t="shared" ca="1" si="1"/>
        <v>#NAME?</v>
      </c>
      <c r="E965" s="9" t="str">
        <f ca="1">IFERROR(__xludf.DUMMYFUNCTION("GOOGLETRANSLATE(B965,""zh"",""vi"")"),"#VALUE!")</f>
        <v>#VALUE!</v>
      </c>
      <c r="F965" s="9"/>
    </row>
    <row r="966" spans="1:6">
      <c r="A966" s="23">
        <v>965</v>
      </c>
      <c r="C966" s="11"/>
      <c r="D966" s="9" t="e">
        <f t="shared" ca="1" si="1"/>
        <v>#NAME?</v>
      </c>
      <c r="E966" s="9" t="str">
        <f ca="1">IFERROR(__xludf.DUMMYFUNCTION("GOOGLETRANSLATE(B966,""zh"",""vi"")"),"#VALUE!")</f>
        <v>#VALUE!</v>
      </c>
      <c r="F966" s="9"/>
    </row>
    <row r="967" spans="1:6">
      <c r="A967" s="23">
        <v>966</v>
      </c>
      <c r="C967" s="11"/>
      <c r="D967" s="9" t="e">
        <f t="shared" ca="1" si="1"/>
        <v>#NAME?</v>
      </c>
      <c r="E967" s="9" t="str">
        <f ca="1">IFERROR(__xludf.DUMMYFUNCTION("GOOGLETRANSLATE(B967,""zh"",""vi"")"),"#VALUE!")</f>
        <v>#VALUE!</v>
      </c>
      <c r="F967" s="9"/>
    </row>
    <row r="968" spans="1:6">
      <c r="A968" s="23">
        <v>967</v>
      </c>
      <c r="C968" s="11"/>
      <c r="D968" s="9" t="e">
        <f t="shared" ca="1" si="1"/>
        <v>#NAME?</v>
      </c>
      <c r="E968" s="9" t="str">
        <f ca="1">IFERROR(__xludf.DUMMYFUNCTION("GOOGLETRANSLATE(B968,""zh"",""vi"")"),"#VALUE!")</f>
        <v>#VALUE!</v>
      </c>
      <c r="F968" s="9"/>
    </row>
    <row r="969" spans="1:6">
      <c r="A969" s="23">
        <v>968</v>
      </c>
      <c r="C969" s="11"/>
      <c r="D969" s="9" t="e">
        <f t="shared" ca="1" si="1"/>
        <v>#NAME?</v>
      </c>
      <c r="E969" s="9" t="str">
        <f ca="1">IFERROR(__xludf.DUMMYFUNCTION("GOOGLETRANSLATE(B969,""zh"",""vi"")"),"#VALUE!")</f>
        <v>#VALUE!</v>
      </c>
      <c r="F969" s="9"/>
    </row>
    <row r="970" spans="1:6">
      <c r="A970" s="23">
        <v>969</v>
      </c>
      <c r="C970" s="11"/>
      <c r="D970" s="9" t="e">
        <f t="shared" ca="1" si="1"/>
        <v>#NAME?</v>
      </c>
      <c r="E970" s="9" t="str">
        <f ca="1">IFERROR(__xludf.DUMMYFUNCTION("GOOGLETRANSLATE(B970,""zh"",""vi"")"),"#VALUE!")</f>
        <v>#VALUE!</v>
      </c>
      <c r="F970" s="9"/>
    </row>
    <row r="971" spans="1:6">
      <c r="A971" s="23">
        <v>970</v>
      </c>
      <c r="C971" s="11"/>
      <c r="D971" s="9" t="e">
        <f t="shared" ca="1" si="1"/>
        <v>#NAME?</v>
      </c>
      <c r="E971" s="9" t="str">
        <f ca="1">IFERROR(__xludf.DUMMYFUNCTION("GOOGLETRANSLATE(B971,""zh"",""vi"")"),"#VALUE!")</f>
        <v>#VALUE!</v>
      </c>
      <c r="F971" s="9"/>
    </row>
    <row r="972" spans="1:6">
      <c r="A972" s="23">
        <v>971</v>
      </c>
      <c r="C972" s="11"/>
      <c r="D972" s="9" t="e">
        <f t="shared" ca="1" si="1"/>
        <v>#NAME?</v>
      </c>
      <c r="E972" s="9" t="str">
        <f ca="1">IFERROR(__xludf.DUMMYFUNCTION("GOOGLETRANSLATE(B972,""zh"",""vi"")"),"#VALUE!")</f>
        <v>#VALUE!</v>
      </c>
      <c r="F972" s="9"/>
    </row>
    <row r="973" spans="1:6">
      <c r="A973" s="23">
        <v>972</v>
      </c>
      <c r="C973" s="11"/>
      <c r="D973" s="9" t="e">
        <f t="shared" ca="1" si="1"/>
        <v>#NAME?</v>
      </c>
      <c r="E973" s="9" t="str">
        <f ca="1">IFERROR(__xludf.DUMMYFUNCTION("GOOGLETRANSLATE(B973,""zh"",""vi"")"),"#VALUE!")</f>
        <v>#VALUE!</v>
      </c>
      <c r="F973" s="9"/>
    </row>
    <row r="974" spans="1:6">
      <c r="A974" s="23">
        <v>973</v>
      </c>
      <c r="C974" s="11"/>
      <c r="D974" s="9" t="e">
        <f t="shared" ca="1" si="1"/>
        <v>#NAME?</v>
      </c>
      <c r="E974" s="9" t="str">
        <f ca="1">IFERROR(__xludf.DUMMYFUNCTION("GOOGLETRANSLATE(B974,""zh"",""vi"")"),"#VALUE!")</f>
        <v>#VALUE!</v>
      </c>
      <c r="F974" s="9"/>
    </row>
    <row r="975" spans="1:6">
      <c r="A975" s="23">
        <v>974</v>
      </c>
      <c r="C975" s="11"/>
      <c r="D975" s="9" t="e">
        <f t="shared" ca="1" si="1"/>
        <v>#NAME?</v>
      </c>
      <c r="E975" s="9" t="str">
        <f ca="1">IFERROR(__xludf.DUMMYFUNCTION("GOOGLETRANSLATE(B975,""zh"",""vi"")"),"#VALUE!")</f>
        <v>#VALUE!</v>
      </c>
      <c r="F975" s="9"/>
    </row>
    <row r="976" spans="1:6">
      <c r="A976" s="23">
        <v>975</v>
      </c>
      <c r="C976" s="11"/>
      <c r="D976" s="9" t="e">
        <f t="shared" ca="1" si="1"/>
        <v>#NAME?</v>
      </c>
      <c r="E976" s="9" t="str">
        <f ca="1">IFERROR(__xludf.DUMMYFUNCTION("GOOGLETRANSLATE(B976,""zh"",""vi"")"),"#VALUE!")</f>
        <v>#VALUE!</v>
      </c>
      <c r="F976" s="9"/>
    </row>
    <row r="977" spans="1:6">
      <c r="A977" s="23">
        <v>976</v>
      </c>
      <c r="C977" s="11"/>
      <c r="D977" s="9" t="e">
        <f t="shared" ca="1" si="1"/>
        <v>#NAME?</v>
      </c>
      <c r="E977" s="9" t="str">
        <f ca="1">IFERROR(__xludf.DUMMYFUNCTION("GOOGLETRANSLATE(B977,""zh"",""vi"")"),"#VALUE!")</f>
        <v>#VALUE!</v>
      </c>
      <c r="F977" s="9"/>
    </row>
    <row r="978" spans="1:6">
      <c r="A978" s="23">
        <v>977</v>
      </c>
      <c r="C978" s="11"/>
      <c r="D978" s="9" t="e">
        <f t="shared" ca="1" si="1"/>
        <v>#NAME?</v>
      </c>
      <c r="E978" s="9" t="str">
        <f ca="1">IFERROR(__xludf.DUMMYFUNCTION("GOOGLETRANSLATE(B978,""zh"",""vi"")"),"#VALUE!")</f>
        <v>#VALUE!</v>
      </c>
      <c r="F978" s="9"/>
    </row>
    <row r="979" spans="1:6">
      <c r="A979" s="23">
        <v>978</v>
      </c>
      <c r="C979" s="11"/>
      <c r="D979" s="9" t="e">
        <f t="shared" ca="1" si="1"/>
        <v>#NAME?</v>
      </c>
      <c r="E979" s="9" t="str">
        <f ca="1">IFERROR(__xludf.DUMMYFUNCTION("GOOGLETRANSLATE(B979,""zh"",""vi"")"),"#VALUE!")</f>
        <v>#VALUE!</v>
      </c>
      <c r="F979" s="9"/>
    </row>
    <row r="980" spans="1:6">
      <c r="A980" s="23">
        <v>979</v>
      </c>
      <c r="C980" s="11"/>
      <c r="D980" s="9" t="e">
        <f t="shared" ca="1" si="1"/>
        <v>#NAME?</v>
      </c>
      <c r="E980" s="9" t="str">
        <f ca="1">IFERROR(__xludf.DUMMYFUNCTION("GOOGLETRANSLATE(B980,""zh"",""vi"")"),"#VALUE!")</f>
        <v>#VALUE!</v>
      </c>
      <c r="F980" s="9"/>
    </row>
    <row r="981" spans="1:6">
      <c r="A981" s="23">
        <v>980</v>
      </c>
      <c r="C981" s="11"/>
      <c r="D981" s="9" t="e">
        <f t="shared" ca="1" si="1"/>
        <v>#NAME?</v>
      </c>
      <c r="E981" s="9" t="str">
        <f ca="1">IFERROR(__xludf.DUMMYFUNCTION("GOOGLETRANSLATE(B981,""zh"",""vi"")"),"#VALUE!")</f>
        <v>#VALUE!</v>
      </c>
      <c r="F981" s="9"/>
    </row>
    <row r="982" spans="1:6">
      <c r="A982" s="23">
        <v>981</v>
      </c>
      <c r="C982" s="11"/>
      <c r="D982" s="9" t="e">
        <f t="shared" ca="1" si="1"/>
        <v>#NAME?</v>
      </c>
      <c r="E982" s="9" t="str">
        <f ca="1">IFERROR(__xludf.DUMMYFUNCTION("GOOGLETRANSLATE(B982,""zh"",""vi"")"),"#VALUE!")</f>
        <v>#VALUE!</v>
      </c>
      <c r="F982" s="9"/>
    </row>
    <row r="983" spans="1:6">
      <c r="A983" s="23">
        <v>982</v>
      </c>
      <c r="C983" s="11"/>
      <c r="D983" s="9" t="e">
        <f t="shared" ca="1" si="1"/>
        <v>#NAME?</v>
      </c>
      <c r="E983" s="9" t="str">
        <f ca="1">IFERROR(__xludf.DUMMYFUNCTION("GOOGLETRANSLATE(B983,""zh"",""vi"")"),"#VALUE!")</f>
        <v>#VALUE!</v>
      </c>
      <c r="F983" s="9"/>
    </row>
    <row r="984" spans="1:6">
      <c r="A984" s="23">
        <v>983</v>
      </c>
      <c r="C984" s="11"/>
      <c r="D984" s="9" t="e">
        <f t="shared" ca="1" si="1"/>
        <v>#NAME?</v>
      </c>
      <c r="E984" s="9" t="str">
        <f ca="1">IFERROR(__xludf.DUMMYFUNCTION("GOOGLETRANSLATE(B984,""zh"",""vi"")"),"#VALUE!")</f>
        <v>#VALUE!</v>
      </c>
      <c r="F984" s="9"/>
    </row>
    <row r="985" spans="1:6">
      <c r="A985" s="23">
        <v>984</v>
      </c>
      <c r="C985" s="11"/>
      <c r="D985" s="9" t="e">
        <f t="shared" ca="1" si="1"/>
        <v>#NAME?</v>
      </c>
      <c r="E985" s="9" t="str">
        <f ca="1">IFERROR(__xludf.DUMMYFUNCTION("GOOGLETRANSLATE(B985,""zh"",""vi"")"),"#VALUE!")</f>
        <v>#VALUE!</v>
      </c>
      <c r="F985" s="9"/>
    </row>
    <row r="986" spans="1:6">
      <c r="A986" s="23">
        <v>985</v>
      </c>
      <c r="C986" s="11"/>
      <c r="D986" s="9" t="e">
        <f t="shared" ca="1" si="1"/>
        <v>#NAME?</v>
      </c>
      <c r="E986" s="9" t="str">
        <f ca="1">IFERROR(__xludf.DUMMYFUNCTION("GOOGLETRANSLATE(B986,""zh"",""vi"")"),"#VALUE!")</f>
        <v>#VALUE!</v>
      </c>
      <c r="F986" s="9"/>
    </row>
    <row r="987" spans="1:6">
      <c r="A987" s="23">
        <v>986</v>
      </c>
      <c r="C987" s="11"/>
      <c r="D987" s="9" t="e">
        <f t="shared" ca="1" si="1"/>
        <v>#NAME?</v>
      </c>
      <c r="E987" s="9" t="str">
        <f ca="1">IFERROR(__xludf.DUMMYFUNCTION("GOOGLETRANSLATE(B987,""zh"",""vi"")"),"#VALUE!")</f>
        <v>#VALUE!</v>
      </c>
      <c r="F987" s="9"/>
    </row>
    <row r="988" spans="1:6">
      <c r="A988" s="23">
        <v>987</v>
      </c>
      <c r="C988" s="11"/>
      <c r="D988" s="9" t="e">
        <f t="shared" ca="1" si="1"/>
        <v>#NAME?</v>
      </c>
      <c r="E988" s="9" t="str">
        <f ca="1">IFERROR(__xludf.DUMMYFUNCTION("GOOGLETRANSLATE(B988,""zh"",""vi"")"),"#VALUE!")</f>
        <v>#VALUE!</v>
      </c>
      <c r="F988" s="9"/>
    </row>
    <row r="989" spans="1:6">
      <c r="A989" s="23">
        <v>988</v>
      </c>
      <c r="C989" s="11"/>
      <c r="D989" s="9" t="e">
        <f t="shared" ca="1" si="1"/>
        <v>#NAME?</v>
      </c>
      <c r="E989" s="9" t="str">
        <f ca="1">IFERROR(__xludf.DUMMYFUNCTION("GOOGLETRANSLATE(B989,""zh"",""vi"")"),"#VALUE!")</f>
        <v>#VALUE!</v>
      </c>
      <c r="F989" s="9"/>
    </row>
    <row r="990" spans="1:6">
      <c r="A990" s="23">
        <v>989</v>
      </c>
      <c r="C990" s="11"/>
      <c r="D990" s="9" t="e">
        <f t="shared" ca="1" si="1"/>
        <v>#NAME?</v>
      </c>
      <c r="E990" s="9" t="str">
        <f ca="1">IFERROR(__xludf.DUMMYFUNCTION("GOOGLETRANSLATE(B990,""zh"",""vi"")"),"#VALUE!")</f>
        <v>#VALUE!</v>
      </c>
      <c r="F990" s="9"/>
    </row>
    <row r="991" spans="1:6">
      <c r="A991" s="23">
        <v>990</v>
      </c>
      <c r="C991" s="11"/>
      <c r="D991" s="9" t="e">
        <f t="shared" ca="1" si="1"/>
        <v>#NAME?</v>
      </c>
      <c r="E991" s="9" t="str">
        <f ca="1">IFERROR(__xludf.DUMMYFUNCTION("GOOGLETRANSLATE(B991,""zh"",""vi"")"),"#VALUE!")</f>
        <v>#VALUE!</v>
      </c>
      <c r="F991" s="9"/>
    </row>
    <row r="992" spans="1:6">
      <c r="A992" s="23">
        <v>991</v>
      </c>
      <c r="C992" s="11"/>
      <c r="D992" s="9" t="e">
        <f t="shared" ca="1" si="1"/>
        <v>#NAME?</v>
      </c>
      <c r="E992" s="9" t="str">
        <f ca="1">IFERROR(__xludf.DUMMYFUNCTION("GOOGLETRANSLATE(B992,""zh"",""vi"")"),"#VALUE!")</f>
        <v>#VALUE!</v>
      </c>
      <c r="F992" s="9"/>
    </row>
    <row r="993" spans="1:6">
      <c r="A993" s="23">
        <v>992</v>
      </c>
      <c r="C993" s="11"/>
      <c r="D993" s="9" t="e">
        <f t="shared" ca="1" si="1"/>
        <v>#NAME?</v>
      </c>
      <c r="E993" s="9" t="str">
        <f ca="1">IFERROR(__xludf.DUMMYFUNCTION("GOOGLETRANSLATE(B993,""zh"",""vi"")"),"#VALUE!")</f>
        <v>#VALUE!</v>
      </c>
      <c r="F993" s="9"/>
    </row>
    <row r="994" spans="1:6">
      <c r="A994" s="23">
        <v>993</v>
      </c>
      <c r="C994" s="11"/>
      <c r="D994" s="9" t="e">
        <f t="shared" ca="1" si="1"/>
        <v>#NAME?</v>
      </c>
      <c r="E994" s="9" t="str">
        <f ca="1">IFERROR(__xludf.DUMMYFUNCTION("GOOGLETRANSLATE(B994,""zh"",""vi"")"),"#VALUE!")</f>
        <v>#VALUE!</v>
      </c>
      <c r="F994" s="9"/>
    </row>
    <row r="995" spans="1:6">
      <c r="A995" s="23">
        <v>994</v>
      </c>
      <c r="C995" s="11"/>
      <c r="D995" s="9" t="e">
        <f t="shared" ca="1" si="1"/>
        <v>#NAME?</v>
      </c>
      <c r="E995" s="9" t="str">
        <f ca="1">IFERROR(__xludf.DUMMYFUNCTION("GOOGLETRANSLATE(B995,""zh"",""vi"")"),"#VALUE!")</f>
        <v>#VALUE!</v>
      </c>
      <c r="F995" s="9"/>
    </row>
    <row r="996" spans="1:6">
      <c r="A996" s="23">
        <v>995</v>
      </c>
      <c r="C996" s="11"/>
      <c r="D996" s="9" t="e">
        <f t="shared" ca="1" si="1"/>
        <v>#NAME?</v>
      </c>
      <c r="E996" s="9" t="str">
        <f ca="1">IFERROR(__xludf.DUMMYFUNCTION("GOOGLETRANSLATE(B996,""zh"",""vi"")"),"#VALUE!")</f>
        <v>#VALUE!</v>
      </c>
      <c r="F996" s="9"/>
    </row>
    <row r="997" spans="1:6">
      <c r="A997" s="23">
        <v>996</v>
      </c>
      <c r="C997" s="11"/>
      <c r="D997" s="9" t="e">
        <f t="shared" ca="1" si="1"/>
        <v>#NAME?</v>
      </c>
      <c r="E997" s="9" t="str">
        <f ca="1">IFERROR(__xludf.DUMMYFUNCTION("GOOGLETRANSLATE(B997,""zh"",""vi"")"),"#VALUE!")</f>
        <v>#VALUE!</v>
      </c>
      <c r="F997" s="9"/>
    </row>
    <row r="998" spans="1:6">
      <c r="A998" s="23">
        <v>997</v>
      </c>
      <c r="C998" s="11"/>
      <c r="D998" s="9" t="e">
        <f t="shared" ca="1" si="1"/>
        <v>#NAME?</v>
      </c>
      <c r="E998" s="9" t="str">
        <f ca="1">IFERROR(__xludf.DUMMYFUNCTION("GOOGLETRANSLATE(B998,""zh"",""vi"")"),"#VALUE!")</f>
        <v>#VALUE!</v>
      </c>
      <c r="F998" s="9"/>
    </row>
    <row r="999" spans="1:6">
      <c r="A999" s="23">
        <v>998</v>
      </c>
      <c r="C999" s="11"/>
      <c r="D999" s="9" t="e">
        <f t="shared" ca="1" si="1"/>
        <v>#NAME?</v>
      </c>
      <c r="E999" s="9" t="str">
        <f ca="1">IFERROR(__xludf.DUMMYFUNCTION("GOOGLETRANSLATE(B999,""zh"",""vi"")"),"#VALUE!")</f>
        <v>#VALUE!</v>
      </c>
      <c r="F999" s="9"/>
    </row>
    <row r="1000" spans="1:6">
      <c r="A1000" s="23">
        <v>999</v>
      </c>
      <c r="C1000" s="11"/>
      <c r="D1000" s="9" t="e">
        <f t="shared" ca="1" si="1"/>
        <v>#NAME?</v>
      </c>
      <c r="E1000" s="9" t="str">
        <f ca="1">IFERROR(__xludf.DUMMYFUNCTION("GOOGLETRANSLATE(B1000,""zh"",""vi"")"),"#VALUE!")</f>
        <v>#VALUE!</v>
      </c>
      <c r="F1000" s="9"/>
    </row>
  </sheetData>
  <mergeCells count="2">
    <mergeCell ref="I1:J1"/>
    <mergeCell ref="I2:I7"/>
  </mergeCells>
  <dataValidations count="2">
    <dataValidation type="list" allowBlank="1" showErrorMessage="1" sqref="C2:C1000" xr:uid="{00000000-0002-0000-0300-000000000000}">
      <formula1>"Danh từ,Động từ,Tính từ,Đại từ,Phó từ,Giới từ,Liên từ,Trợ từ,Số từ,Lượng từ"</formula1>
    </dataValidation>
    <dataValidation type="list" allowBlank="1" showErrorMessage="1" sqref="F2:F1000" xr:uid="{00000000-0002-0000-0300-000001000000}">
      <formula1>"1. Con người &amp; Các mối quan hệ,2. Cơ thể &amp; Sức khỏe,3. Cảm xúc &amp; Thái độ,4. Tư duy &amp; Nhận thức,5. Đời sống sinh hoạt,6. Đồ vật &amp; Công cụ,7. Địa điểm &amp; Nơi chốn,8. Giao thông &amp; Di chuyển,9. Không gian &amp; Vị trí,10. Thời gian,12. Công việc &amp; Nghề nghiệp,13. "&amp;"Miêu tả &amp; Đánh giá,14. Số lượng &amp; Đo lường,15. Công cụ ngữ pháp &amp; Cấu trúc,16. Tự nhiên"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HSK 1 - Sơ Cấp</vt:lpstr>
      <vt:lpstr>HSK 2 - Sơ Cấp</vt:lpstr>
      <vt:lpstr>HSK 3- Trung cấp</vt:lpstr>
      <vt:lpstr>HSK 4- Trung cấp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PHAN PHI PHU</cp:lastModifiedBy>
  <dcterms:modified xsi:type="dcterms:W3CDTF">2026-05-03T04:22:30Z</dcterms:modified>
</cp:coreProperties>
</file>